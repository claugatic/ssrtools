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drawings/drawing7.xml" ContentType="application/vnd.openxmlformats-officedocument.drawing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8.xml" ContentType="application/vnd.openxmlformats-officedocument.drawingml.chartshapes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charts/chart16.xml" ContentType="application/vnd.openxmlformats-officedocument.drawingml.chart+xml"/>
  <Override PartName="/xl/drawings/drawing11.xml" ContentType="application/vnd.openxmlformats-officedocument.drawing+xml"/>
  <Override PartName="/xl/ctrlProps/ctrlProp6.xml" ContentType="application/vnd.ms-excel.controlproperties+xml"/>
  <Override PartName="/xl/drawings/drawing12.xml" ContentType="application/vnd.openxmlformats-officedocument.drawing+xml"/>
  <Override PartName="/xl/charts/chart17.xml" ContentType="application/vnd.openxmlformats-officedocument.drawingml.chart+xml"/>
  <Override PartName="/xl/drawings/drawing13.xml" ContentType="application/vnd.openxmlformats-officedocument.drawing+xml"/>
  <Override PartName="/xl/ctrlProps/ctrlProp7.xml" ContentType="application/vnd.ms-excel.controlproperties+xml"/>
  <Override PartName="/xl/drawings/drawing14.xml" ContentType="application/vnd.openxmlformats-officedocument.drawing+xml"/>
  <Override PartName="/xl/charts/chart18.xml" ContentType="application/vnd.openxmlformats-officedocument.drawingml.chart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drawings/drawing16.xml" ContentType="application/vnd.openxmlformats-officedocument.drawing+xml"/>
  <Override PartName="/xl/charts/chart20.xml" ContentType="application/vnd.openxmlformats-officedocument.drawingml.chart+xml"/>
  <Override PartName="/xl/drawings/drawing17.xml" ContentType="application/vnd.openxmlformats-officedocument.drawing+xml"/>
  <Override PartName="/xl/ctrlProps/ctrlProp8.xml" ContentType="application/vnd.ms-excel.controlproperties+xml"/>
  <Override PartName="/xl/comments1.xml" ContentType="application/vnd.openxmlformats-officedocument.spreadsheetml.comments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ichard.Methot\Documents\SS_Model\SS_Topics\"/>
    </mc:Choice>
  </mc:AlternateContent>
  <bookViews>
    <workbookView xWindow="120" yWindow="180" windowWidth="13470" windowHeight="8835" firstSheet="2" activeTab="2"/>
  </bookViews>
  <sheets>
    <sheet name="CompReport_SSO" sheetId="3" r:id="rId1"/>
    <sheet name="REPORT_SSO" sheetId="2" r:id="rId2"/>
    <sheet name="Main" sheetId="5" r:id="rId3"/>
    <sheet name="StdErr" sheetId="6" r:id="rId4"/>
    <sheet name="Time_Series" sheetId="16" r:id="rId5"/>
    <sheet name="Annual" sheetId="18" r:id="rId6"/>
    <sheet name="SRR" sheetId="17" r:id="rId7"/>
    <sheet name="SURVEY" sheetId="9" r:id="rId8"/>
    <sheet name="Comp_Disp" sheetId="4" r:id="rId9"/>
    <sheet name="BIO" sheetId="8" r:id="rId10"/>
    <sheet name="Len_Sel_A" sheetId="12" r:id="rId11"/>
    <sheet name="Len_Sel_D" sheetId="10" r:id="rId12"/>
    <sheet name="Age_Sel_A" sheetId="13" r:id="rId13"/>
    <sheet name="Age_Sel_D" sheetId="11" r:id="rId14"/>
    <sheet name="Discard" sheetId="14" r:id="rId15"/>
    <sheet name="BODYWT" sheetId="15" r:id="rId16"/>
    <sheet name="Annual_F" sheetId="19" r:id="rId17"/>
  </sheets>
  <definedNames>
    <definedName name="_xlnm._FilterDatabase" localSheetId="12" hidden="1">Age_Sel_A!$A$4:$D$7</definedName>
    <definedName name="_xlnm._FilterDatabase" localSheetId="13" hidden="1">Age_Sel_D!$A$2:$F$7</definedName>
    <definedName name="_xlnm._FilterDatabase" localSheetId="16" hidden="1">Annual_F!$D$5:$F$7</definedName>
    <definedName name="_xlnm._FilterDatabase" localSheetId="9" hidden="1">BIO!$C$37:$K$40</definedName>
    <definedName name="_xlnm._FilterDatabase" localSheetId="15" hidden="1">BODYWT!$A$4:$D$5</definedName>
    <definedName name="_xlnm._FilterDatabase" localSheetId="8" hidden="1">Comp_Disp!$A$4:$M$29</definedName>
    <definedName name="_xlnm._FilterDatabase" localSheetId="0" hidden="1">CompReport_SSO!$A$25:$L$29</definedName>
    <definedName name="_xlnm._FilterDatabase" localSheetId="14" hidden="1">Discard!$A$4:$D$6</definedName>
    <definedName name="_xlnm._FilterDatabase" localSheetId="10" hidden="1">Len_Sel_A!$A$6:$D$7</definedName>
    <definedName name="_xlnm._FilterDatabase" localSheetId="11" hidden="1">Len_Sel_D!$A$2:$D$7</definedName>
    <definedName name="_xlnm._FilterDatabase" localSheetId="7" hidden="1">SURVEY!$A$4:$D$9</definedName>
    <definedName name="_xlnm._FilterDatabase" localSheetId="4" hidden="1">Time_Series!$A$2:$D$5</definedName>
    <definedName name="ACV_Mid" localSheetId="9">BIO!$B$38:$B$40</definedName>
    <definedName name="Age_Beg" localSheetId="9">BIO!$J$38:$J$40</definedName>
    <definedName name="Age_Mid" localSheetId="9">BIO!$K$38:$K$40</definedName>
    <definedName name="AgeSelex_Raw">Age_Sel_A!$A$1</definedName>
    <definedName name="Apical_F" localSheetId="16">Annual_F!$A$6:$A$7</definedName>
    <definedName name="Ave_F" localSheetId="16">Annual_F!$C$6:$C$7</definedName>
    <definedName name="Bin" localSheetId="8">Comp_Disp!$M$5:$M$29</definedName>
    <definedName name="Bio_smry" localSheetId="5">Annual!$O$9:$O$10</definedName>
    <definedName name="Bio_smry" localSheetId="4">Time_Series!$F$3:$F$5</definedName>
    <definedName name="CompReport" localSheetId="0">CompReport_SSO!$A$4:$AK$29</definedName>
    <definedName name="Cum_exp" localSheetId="8">Comp_Disp!$U$5:$U$29</definedName>
    <definedName name="Cum_obs" localSheetId="8">Comp_Disp!$T$5:$T$29</definedName>
    <definedName name="Dead_Catch" localSheetId="5">Annual!$Q$9:$Q$10</definedName>
    <definedName name="delete_OBS" localSheetId="15">BODYWT!$P$5:$P$5</definedName>
    <definedName name="delete_OBS" localSheetId="14">Discard!$V$5:$V$6</definedName>
    <definedName name="delete_OBS" localSheetId="7">SURVEY!$Q$5:$Q$9</definedName>
    <definedName name="Eff_Q" localSheetId="7">SURVEY!$J$5:$J$9</definedName>
    <definedName name="Exp" localSheetId="15">BODYWT!$H$5:$H$5</definedName>
    <definedName name="Exp" localSheetId="8">Comp_Disp!$O$5:$O$29</definedName>
    <definedName name="Exp" localSheetId="14">Discard!$G$5:$G$6</definedName>
    <definedName name="Exp" localSheetId="7">SURVEY!$H$5:$H$9</definedName>
    <definedName name="F_std" localSheetId="5">Annual!$L$9:$L$10</definedName>
    <definedName name="Len_Beg" localSheetId="9">BIO!$M$38:$M$40</definedName>
    <definedName name="Len_Mid" localSheetId="9">BIO!$N$38:$N$40</definedName>
    <definedName name="LenSelexArea">Len_Sel_D!$D$6:$V$7</definedName>
    <definedName name="Main_List">Main!$N$3</definedName>
    <definedName name="OBS" localSheetId="15">BODYWT!$Q$5:$Q$5</definedName>
    <definedName name="Obs" localSheetId="8">Comp_Disp!$N$5:$N$29</definedName>
    <definedName name="OBS" localSheetId="14">Discard!$W$5:$W$6</definedName>
    <definedName name="OBS" localSheetId="7">SURVEY!$R$5:$R$9</definedName>
    <definedName name="Pearson" localSheetId="8">Comp_Disp!$P$5:$P$29</definedName>
    <definedName name="put_agecomp">Comp_Disp!$A$4</definedName>
    <definedName name="put_ageselex">Age_Sel_D!$A$2</definedName>
    <definedName name="put_biology">BIO!$C$37</definedName>
    <definedName name="put_selex">Len_Sel_D!$A$2</definedName>
    <definedName name="put_survey">SURVEY!$A$5</definedName>
    <definedName name="Recruit_0" localSheetId="4">Time_Series!$H$3:$H$5</definedName>
    <definedName name="Recruits" localSheetId="5">Annual!$T$9:$T$10</definedName>
    <definedName name="Report_1" localSheetId="1">REPORT_SSO!$A$1:$AU$29</definedName>
    <definedName name="SD_Beg" localSheetId="9">BIO!$O$38:$O$40</definedName>
    <definedName name="SD_Mid" localSheetId="9">BIO!$P$38:$P$40</definedName>
    <definedName name="se2_hi" localSheetId="15">BODYWT!$S$5:$S$5</definedName>
    <definedName name="se2_hi" localSheetId="14">Discard!$Y$5:$Y$6</definedName>
    <definedName name="se2_hi" localSheetId="7">SURVEY!$T$5:$T$9</definedName>
    <definedName name="se2_low" localSheetId="15">BODYWT!$R$5:$R$5</definedName>
    <definedName name="se2_low" localSheetId="14">Discard!$X$5:$X$6</definedName>
    <definedName name="se2_low" localSheetId="7">SURVEY!$S$5:$S$9</definedName>
    <definedName name="SpawnBio" localSheetId="4">Time_Series!$G$3:$G$5</definedName>
    <definedName name="SPB" localSheetId="5">Annual!$S$9:$S$10</definedName>
    <definedName name="SPR_std" localSheetId="5">Annual!$H$9:$H$10</definedName>
    <definedName name="Year" localSheetId="5">Annual!$A$9:$A$10</definedName>
    <definedName name="Year" localSheetId="16">Annual_F!$F$6:$F$7</definedName>
    <definedName name="Yr" localSheetId="15">BODYWT!$E$5:$E$5</definedName>
    <definedName name="Yr" localSheetId="8">Comp_Disp!$C$5:$C$29</definedName>
    <definedName name="Yr" localSheetId="14">Discard!$E$5:$E$6</definedName>
    <definedName name="Yr" localSheetId="7">SURVEY!$E$5:$E$9</definedName>
    <definedName name="Yr" localSheetId="4">Time_Series!$B$3:$B$5</definedName>
  </definedNames>
  <calcPr calcId="162913"/>
</workbook>
</file>

<file path=xl/calcChain.xml><?xml version="1.0" encoding="utf-8"?>
<calcChain xmlns="http://schemas.openxmlformats.org/spreadsheetml/2006/main">
  <c r="S5" i="15" l="1"/>
  <c r="R5" i="15"/>
  <c r="Q5" i="15"/>
  <c r="P5" i="15"/>
  <c r="Y6" i="14"/>
  <c r="X6" i="14"/>
  <c r="W6" i="14"/>
  <c r="V6" i="14"/>
  <c r="Y5" i="14"/>
  <c r="X5" i="14"/>
  <c r="W5" i="14"/>
  <c r="V5" i="14"/>
  <c r="T9" i="9"/>
  <c r="S9" i="9"/>
  <c r="R9" i="9"/>
  <c r="Q9" i="9"/>
  <c r="T8" i="9"/>
  <c r="S8" i="9"/>
  <c r="R8" i="9"/>
  <c r="Q8" i="9"/>
  <c r="T7" i="9"/>
  <c r="S7" i="9"/>
  <c r="R7" i="9"/>
  <c r="Q7" i="9"/>
  <c r="T6" i="9"/>
  <c r="S6" i="9"/>
  <c r="R6" i="9"/>
  <c r="Q6" i="9"/>
  <c r="T5" i="9"/>
  <c r="S5" i="9"/>
  <c r="R5" i="9"/>
  <c r="Q5" i="9"/>
  <c r="B40" i="8"/>
  <c r="A40" i="8"/>
  <c r="B39" i="8"/>
  <c r="A39" i="8"/>
  <c r="B38" i="8"/>
  <c r="A38" i="8"/>
  <c r="Y3" i="14" l="1"/>
  <c r="X3" i="14"/>
  <c r="V3" i="14"/>
  <c r="W3" i="14"/>
  <c r="S3" i="15" l="1"/>
  <c r="R3" i="15"/>
  <c r="Q3" i="15"/>
  <c r="P3" i="15"/>
  <c r="T3" i="9"/>
  <c r="S3" i="9"/>
  <c r="Q3" i="9" l="1"/>
  <c r="R3" i="9"/>
  <c r="B36" i="8"/>
  <c r="A36" i="8"/>
  <c r="B2" i="4"/>
</calcChain>
</file>

<file path=xl/comments1.xml><?xml version="1.0" encoding="utf-8"?>
<comments xmlns="http://schemas.openxmlformats.org/spreadsheetml/2006/main">
  <authors>
    <author>richard methot</author>
  </authors>
  <commentList>
    <comment ref="B3" authorId="0" shapeId="0">
      <text>
        <r>
          <rPr>
            <b/>
            <sz val="8"/>
            <color indexed="81"/>
            <rFont val="Tahoma"/>
            <family val="2"/>
          </rPr>
          <t>Ave_F calculated for ages MinAge to MaxAge</t>
        </r>
      </text>
    </comment>
  </commentList>
</comments>
</file>

<file path=xl/connections.xml><?xml version="1.0" encoding="utf-8"?>
<connections xmlns="http://schemas.openxmlformats.org/spreadsheetml/2006/main">
  <connection id="1" name="CompReport" type="6" refreshedVersion="6" background="1" saveData="1">
    <textPr codePage="437" sourceFile="C:\Users\Richard.Methot\Documents\SS_Model\Training\2016_SMAST\herring\CompReport.sso" tab="0" space="1" consecutive="1">
      <textFields count="5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Report" type="6" refreshedVersion="3" background="1" saveData="1">
    <textPr codePage="437" sourceFile="C:\SS2\SS3_Examples\Ver303\Tester\Report.SSO" tab="0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3" name="Report1" type="6" refreshedVersion="6" background="1" saveData="1">
    <textPr codePage="437" sourceFile="C:\Users\Richard.Methot\Documents\SS_Model\Training\2016_SMAST\herring\Report.sso" tab="0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<sst xmlns="http://schemas.openxmlformats.org/spreadsheetml/2006/main" count="499" uniqueCount="362">
  <si>
    <t>Fleet</t>
  </si>
  <si>
    <t>Gender</t>
  </si>
  <si>
    <t>Seas</t>
  </si>
  <si>
    <t>Yr</t>
  </si>
  <si>
    <t>Obs</t>
  </si>
  <si>
    <t>Exp</t>
  </si>
  <si>
    <t>Like</t>
  </si>
  <si>
    <t>N</t>
  </si>
  <si>
    <t>effN</t>
  </si>
  <si>
    <t>Ageerr</t>
  </si>
  <si>
    <t>Lbin_lo</t>
  </si>
  <si>
    <t>Lbin_hi</t>
  </si>
  <si>
    <t>Bin</t>
  </si>
  <si>
    <t>Rep</t>
  </si>
  <si>
    <t>Pick_gender</t>
  </si>
  <si>
    <t>Kind</t>
  </si>
  <si>
    <t>Part</t>
  </si>
  <si>
    <t>Pearson</t>
  </si>
  <si>
    <t>Cum_exp</t>
  </si>
  <si>
    <t>Scal-Trawl</t>
  </si>
  <si>
    <t>Len</t>
  </si>
  <si>
    <t>MF</t>
  </si>
  <si>
    <t>Step 2:  Parse Report (cuts from sheet Report_SSO and moves to working sheets)</t>
  </si>
  <si>
    <t>Morph</t>
  </si>
  <si>
    <t>Vuln_bio</t>
  </si>
  <si>
    <t>Eff_Q</t>
  </si>
  <si>
    <t>SE</t>
  </si>
  <si>
    <t>Dev</t>
  </si>
  <si>
    <t>Like+log(s)</t>
  </si>
  <si>
    <t>fleet</t>
  </si>
  <si>
    <t>Bio_Pattern</t>
  </si>
  <si>
    <t>Age_Beg</t>
  </si>
  <si>
    <t>Age_Mid</t>
  </si>
  <si>
    <t>M</t>
  </si>
  <si>
    <t>Len_Beg</t>
  </si>
  <si>
    <t>Len_Mid</t>
  </si>
  <si>
    <t>SD_Beg</t>
  </si>
  <si>
    <t>SD_Mid</t>
  </si>
  <si>
    <t>Wt_Beg</t>
  </si>
  <si>
    <t>Wt_Mid</t>
  </si>
  <si>
    <t>Len_Mat</t>
  </si>
  <si>
    <t>Age_Mat</t>
  </si>
  <si>
    <t>Mat*Fecund</t>
  </si>
  <si>
    <t>Len:_1</t>
  </si>
  <si>
    <t>SelWt:_1</t>
  </si>
  <si>
    <t>RetWt:_1</t>
  </si>
  <si>
    <t>Len:_2</t>
  </si>
  <si>
    <t>SelWt:_2</t>
  </si>
  <si>
    <t>RetWt:_2</t>
  </si>
  <si>
    <t>Len:_3</t>
  </si>
  <si>
    <t>SelWt:_3</t>
  </si>
  <si>
    <t>RetWt:_3</t>
  </si>
  <si>
    <t>Length:</t>
  </si>
  <si>
    <t>Len_mid:</t>
  </si>
  <si>
    <t>Combine_males_with_females_thru_agedata_bin:</t>
  </si>
  <si>
    <t>Method_for_Lbin_definition_for_agecomp_data:</t>
  </si>
  <si>
    <t>Composition_Database</t>
  </si>
  <si>
    <t>RetWt:_4</t>
  </si>
  <si>
    <t>SelWt:_5</t>
  </si>
  <si>
    <t>RetWt:_5</t>
  </si>
  <si>
    <t>RetWt:_6</t>
  </si>
  <si>
    <t>Len:_7</t>
  </si>
  <si>
    <t>SelWt:_7</t>
  </si>
  <si>
    <t>RetWt:_7</t>
  </si>
  <si>
    <t>RetWt:_8</t>
  </si>
  <si>
    <t>SURVEY</t>
  </si>
  <si>
    <t>OBS</t>
  </si>
  <si>
    <t>Len:_9</t>
  </si>
  <si>
    <t>SelWt:_9</t>
  </si>
  <si>
    <t>RetWt:_9</t>
  </si>
  <si>
    <t>Len:_10</t>
  </si>
  <si>
    <t>SelWt:_10</t>
  </si>
  <si>
    <t>RetWt:_10</t>
  </si>
  <si>
    <t>Len:_11</t>
  </si>
  <si>
    <t>SelWt:_11</t>
  </si>
  <si>
    <t>RetWt:_11</t>
  </si>
  <si>
    <t>SelWt:_12</t>
  </si>
  <si>
    <t>RetWt:_12</t>
  </si>
  <si>
    <t>Len:_13</t>
  </si>
  <si>
    <t>SelWt:_13</t>
  </si>
  <si>
    <t>RetWt:_13</t>
  </si>
  <si>
    <t>Len:_14</t>
  </si>
  <si>
    <t>SelWt:_14</t>
  </si>
  <si>
    <t>RetWt:_14</t>
  </si>
  <si>
    <t>Len:_15</t>
  </si>
  <si>
    <t>SelWt:_15</t>
  </si>
  <si>
    <t>RetWt:_15</t>
  </si>
  <si>
    <t>SelWt:_16</t>
  </si>
  <si>
    <t>RetWt:_16</t>
  </si>
  <si>
    <t>Len:_17</t>
  </si>
  <si>
    <t>SelWt:_17</t>
  </si>
  <si>
    <t>RetWt:_17</t>
  </si>
  <si>
    <t>Len:_18</t>
  </si>
  <si>
    <t>SelWt:_18</t>
  </si>
  <si>
    <t>RetWt:_18</t>
  </si>
  <si>
    <t>Len:_19</t>
  </si>
  <si>
    <t>SelWt:_19</t>
  </si>
  <si>
    <t>RetWt:_19</t>
  </si>
  <si>
    <t>Len:_20</t>
  </si>
  <si>
    <t>SelWt:_20</t>
  </si>
  <si>
    <t>RetWt:_20</t>
  </si>
  <si>
    <t>Len:_21</t>
  </si>
  <si>
    <t>SelWt:_21</t>
  </si>
  <si>
    <t>RetWt:_21</t>
  </si>
  <si>
    <t>Len:_22</t>
  </si>
  <si>
    <t>SelWt:_22</t>
  </si>
  <si>
    <t>RetWt:_22</t>
  </si>
  <si>
    <t>Len:_23</t>
  </si>
  <si>
    <t>SelWt:_23</t>
  </si>
  <si>
    <t>RetWt:_23</t>
  </si>
  <si>
    <t>Len:_24</t>
  </si>
  <si>
    <t>SelWt:_24</t>
  </si>
  <si>
    <t>RetWt:_24</t>
  </si>
  <si>
    <t>Len:_25</t>
  </si>
  <si>
    <t>SelWt:_25</t>
  </si>
  <si>
    <t>RetWt:_25</t>
  </si>
  <si>
    <t>Len:_26</t>
  </si>
  <si>
    <t>SelWt:_26</t>
  </si>
  <si>
    <t>RetWt:_26</t>
  </si>
  <si>
    <t>Len:_27</t>
  </si>
  <si>
    <t>SelWt:_27</t>
  </si>
  <si>
    <t>RetWt:_27</t>
  </si>
  <si>
    <t>Len:_28</t>
  </si>
  <si>
    <t>SelWt:_28</t>
  </si>
  <si>
    <t>RetWt:_28</t>
  </si>
  <si>
    <t>Len:_29</t>
  </si>
  <si>
    <t>SelWt:_29</t>
  </si>
  <si>
    <t>RetWt:_29</t>
  </si>
  <si>
    <t>Len:_30</t>
  </si>
  <si>
    <t>SelWt:_30</t>
  </si>
  <si>
    <t>RetWt:_30</t>
  </si>
  <si>
    <t>Len:_31</t>
  </si>
  <si>
    <t>SelWt:_31</t>
  </si>
  <si>
    <t>RetWt:_31</t>
  </si>
  <si>
    <t>Len:_32</t>
  </si>
  <si>
    <t>SelWt:_32</t>
  </si>
  <si>
    <t>RetWt:_32</t>
  </si>
  <si>
    <t>Len:_33</t>
  </si>
  <si>
    <t>SelWt:_33</t>
  </si>
  <si>
    <t>RetWt:_33</t>
  </si>
  <si>
    <t>Len:_34</t>
  </si>
  <si>
    <t>SelWt:_34</t>
  </si>
  <si>
    <t>RetWt:_34</t>
  </si>
  <si>
    <t>Len:_35</t>
  </si>
  <si>
    <t>SelWt:_35</t>
  </si>
  <si>
    <t>RetWt:_35</t>
  </si>
  <si>
    <t>Len:_36</t>
  </si>
  <si>
    <t>SelWt:_36</t>
  </si>
  <si>
    <t>RetWt:_36</t>
  </si>
  <si>
    <t>Len:_37</t>
  </si>
  <si>
    <t>SelWt:_37</t>
  </si>
  <si>
    <t>RetWt:_37</t>
  </si>
  <si>
    <t>Len:_38</t>
  </si>
  <si>
    <t>SelWt:_38</t>
  </si>
  <si>
    <t>RetWt:_38</t>
  </si>
  <si>
    <t>Len:_39</t>
  </si>
  <si>
    <t>SelWt:_39</t>
  </si>
  <si>
    <t>RetWt:_39</t>
  </si>
  <si>
    <t>Len:_40</t>
  </si>
  <si>
    <t>SelWt:_40</t>
  </si>
  <si>
    <t>RetWt:_40</t>
  </si>
  <si>
    <t>Len:_41</t>
  </si>
  <si>
    <t>SelWt:_41</t>
  </si>
  <si>
    <t>RetWt:_41</t>
  </si>
  <si>
    <t>Len:_42</t>
  </si>
  <si>
    <t>SelWt:_42</t>
  </si>
  <si>
    <t>RetWt:_42</t>
  </si>
  <si>
    <t>Len:_43</t>
  </si>
  <si>
    <t>SelWt:_43</t>
  </si>
  <si>
    <t>RetWt:_43</t>
  </si>
  <si>
    <t>Len:_44</t>
  </si>
  <si>
    <t>SelWt:_44</t>
  </si>
  <si>
    <t>RetWt:_44</t>
  </si>
  <si>
    <t>Len:_45</t>
  </si>
  <si>
    <t>SelWt:_45</t>
  </si>
  <si>
    <t>RetWt:_45</t>
  </si>
  <si>
    <t>Len:_46</t>
  </si>
  <si>
    <t>SelWt:_46</t>
  </si>
  <si>
    <t>RetWt:_46</t>
  </si>
  <si>
    <t>Pop_Bin:</t>
  </si>
  <si>
    <t>Data_Bin:</t>
  </si>
  <si>
    <t>Combine_males_with_females_thru_sizedata_bin:</t>
  </si>
  <si>
    <t>Cum_obs</t>
  </si>
  <si>
    <t>year</t>
  </si>
  <si>
    <t>gender</t>
  </si>
  <si>
    <t>label</t>
  </si>
  <si>
    <t>Lsel</t>
  </si>
  <si>
    <t>Factor</t>
  </si>
  <si>
    <t>Lsel_is_length_selectivity</t>
  </si>
  <si>
    <t>RET_is_retention</t>
  </si>
  <si>
    <t>MORT_is_discard_mortality</t>
  </si>
  <si>
    <t>KEEP_is_sel*retain</t>
  </si>
  <si>
    <t>Asel_is_age_selectivity_alone</t>
  </si>
  <si>
    <t>factor</t>
  </si>
  <si>
    <t>seas</t>
  </si>
  <si>
    <t>morph</t>
  </si>
  <si>
    <t>Asel</t>
  </si>
  <si>
    <t>On that sheet, you can filter to select up to 32000 rows to be copied to sheet "Comp_Disp"  for interactive filtering and display</t>
  </si>
  <si>
    <t>Selectivity and related vectors are copied to Age_Sel_A and Len_Sel_A</t>
  </si>
  <si>
    <t>From those two sheets, subsets can be filtered and copied to Age_Sel_D and Len_Sel_D for interactive filtering and display</t>
  </si>
  <si>
    <t>All composition data are on sheet CompReport.SSO</t>
  </si>
  <si>
    <t>se2_low</t>
  </si>
  <si>
    <t>se2_hi</t>
  </si>
  <si>
    <t>delete_OBS</t>
  </si>
  <si>
    <t>StartTime:</t>
  </si>
  <si>
    <t>_</t>
  </si>
  <si>
    <t>Area</t>
  </si>
  <si>
    <t>Era</t>
  </si>
  <si>
    <t>Bio_all</t>
  </si>
  <si>
    <t>Bio_smry</t>
  </si>
  <si>
    <t>SpawnBio</t>
  </si>
  <si>
    <t>Recruit_0</t>
  </si>
  <si>
    <t>VIRG</t>
  </si>
  <si>
    <t>SPAWN_RECRUIT</t>
  </si>
  <si>
    <t>Year</t>
  </si>
  <si>
    <t>F_std</t>
  </si>
  <si>
    <t>SPR_series_uses_R0=</t>
  </si>
  <si>
    <t>###note_Y/R_unit_is_Dead_Biomass</t>
  </si>
  <si>
    <t>Depletion_method:</t>
  </si>
  <si>
    <t>#</t>
  </si>
  <si>
    <t>F_std_method:</t>
  </si>
  <si>
    <t>SPR_std_method:</t>
  </si>
  <si>
    <t>Bio_Smry</t>
  </si>
  <si>
    <t>SPBzero</t>
  </si>
  <si>
    <t>SPBfished</t>
  </si>
  <si>
    <t>SPBfished/R</t>
  </si>
  <si>
    <t>SPR</t>
  </si>
  <si>
    <t>SPR_std</t>
  </si>
  <si>
    <t>Y/R</t>
  </si>
  <si>
    <t>GenTime</t>
  </si>
  <si>
    <t>Deplete</t>
  </si>
  <si>
    <t>Actual:</t>
  </si>
  <si>
    <t>Enc_Catch</t>
  </si>
  <si>
    <t>Dead_Catch</t>
  </si>
  <si>
    <t>Retain_Catch</t>
  </si>
  <si>
    <t>&amp;</t>
  </si>
  <si>
    <t>Function:</t>
  </si>
  <si>
    <t>Ln(R0)</t>
  </si>
  <si>
    <t>steep</t>
  </si>
  <si>
    <t>init_eq</t>
  </si>
  <si>
    <t>spawn_bio</t>
  </si>
  <si>
    <t>exp_recr</t>
  </si>
  <si>
    <t>with_env</t>
  </si>
  <si>
    <t>pred_recr</t>
  </si>
  <si>
    <t>dev</t>
  </si>
  <si>
    <t>era</t>
  </si>
  <si>
    <t>S/Rcurve</t>
  </si>
  <si>
    <t>Virg</t>
  </si>
  <si>
    <t>-</t>
  </si>
  <si>
    <t>ACV_Mid</t>
  </si>
  <si>
    <t>ACV_Beg</t>
  </si>
  <si>
    <t>Step 3:  Refresh Data (you'll be prompted to navigate to directory containing COMPREPORT.SSO)</t>
  </si>
  <si>
    <t>Step 1:  Refresh Data (you'll be prompted to navigate to directory containing REPORT.SSO)</t>
  </si>
  <si>
    <t>RowCount</t>
  </si>
  <si>
    <t>To reduce size of the file if it needs to get saved</t>
  </si>
  <si>
    <t>Apical_F</t>
  </si>
  <si>
    <t>Ave_F</t>
  </si>
  <si>
    <t>Apical_Age</t>
  </si>
  <si>
    <t>MinAge:</t>
  </si>
  <si>
    <t>MaxAge:</t>
  </si>
  <si>
    <t>Calc_Q</t>
  </si>
  <si>
    <t>COMBINED_ALK*selL*selA*wtlen*ret*discmort_in_makefishsel_yr:</t>
  </si>
  <si>
    <t>With_MeanSel_From:</t>
  </si>
  <si>
    <t>BIOLOGY</t>
  </si>
  <si>
    <t>Std_in</t>
  </si>
  <si>
    <t>Std_use</t>
  </si>
  <si>
    <t>Asel2_is_sizesel*size_at_age(ALK)</t>
  </si>
  <si>
    <t>A</t>
  </si>
  <si>
    <t>sigmaR</t>
  </si>
  <si>
    <t>main_recdev:start_end</t>
  </si>
  <si>
    <t>breakpoints_for_bias_adjustment_ramp</t>
  </si>
  <si>
    <t>ERA</t>
  </si>
  <si>
    <t>RMSE</t>
  </si>
  <si>
    <t>mean_BiasAdj</t>
  </si>
  <si>
    <t>main</t>
  </si>
  <si>
    <t>biasadj</t>
  </si>
  <si>
    <t>early</t>
  </si>
  <si>
    <t>adjusted</t>
  </si>
  <si>
    <t>Num_Smry</t>
  </si>
  <si>
    <t>2008_1Asel</t>
  </si>
  <si>
    <t>2009_1Asel</t>
  </si>
  <si>
    <t>2008_2Asel</t>
  </si>
  <si>
    <t>Len:_5</t>
  </si>
  <si>
    <t>Discard</t>
  </si>
  <si>
    <t>1957_1Asel</t>
  </si>
  <si>
    <t>1957_2Asel</t>
  </si>
  <si>
    <t>AgeSelex_Display</t>
  </si>
  <si>
    <t>AgeSelex_Raw</t>
  </si>
  <si>
    <t>Main_List</t>
  </si>
  <si>
    <t>Return to Main</t>
  </si>
  <si>
    <t>Report_SSO</t>
  </si>
  <si>
    <t>LenSelex_Raw</t>
  </si>
  <si>
    <t>LenSelex_Display</t>
  </si>
  <si>
    <t>Time_Series_Detail</t>
  </si>
  <si>
    <t>TimeSeries_Annual</t>
  </si>
  <si>
    <t>Spawn_Recruit</t>
  </si>
  <si>
    <t>SURVEY_CPUE</t>
  </si>
  <si>
    <t>Composition_Raw</t>
  </si>
  <si>
    <t>Composition_Display</t>
  </si>
  <si>
    <t>BODYWT</t>
  </si>
  <si>
    <t>Annual_F</t>
  </si>
  <si>
    <t>RMSE^2/sigmaR^2</t>
  </si>
  <si>
    <t>Used?</t>
  </si>
  <si>
    <t>Supr_Per</t>
  </si>
  <si>
    <t>SuprPer</t>
  </si>
  <si>
    <t>Size_Bins_pop;_(Pop_len_mid_used_for_calc_of_selex_and_bio_quantities)</t>
  </si>
  <si>
    <t>Size_Bins_dat;_(Data_len_mid_for_reporting_only)</t>
  </si>
  <si>
    <t>For_Sizefreq,_Lbin_Lo_is_units(bio_or_numbers);_Lbin_hi_is_scale(kg,_lb,_cm,_in),_Ageerr_is_method</t>
  </si>
  <si>
    <t>For_Tag_output,_Rep_contains_Tag_Group,_Bin_is_fleet_for_TAG1_and_Bin_is_Year.Seas_for_TAG2</t>
  </si>
  <si>
    <t>Column_Super?_indicates_super-periods;_column_used_indicates_inclusion_in_logL</t>
  </si>
  <si>
    <t>LEN</t>
  </si>
  <si>
    <t>Then save file, reopen but do not reestablish dataconnections, then save.  This will save a very small file.</t>
  </si>
  <si>
    <t>type ctl-m to return here</t>
  </si>
  <si>
    <t>NOTE:  You do not need to activate "Data Connections"</t>
  </si>
  <si>
    <t>Len:_12</t>
  </si>
  <si>
    <t>Use</t>
  </si>
  <si>
    <t>MnAge_Smry</t>
  </si>
  <si>
    <t>MnAge_Catch</t>
  </si>
  <si>
    <t>Yr.S</t>
  </si>
  <si>
    <t>DEAD_is_sel*(retain+(1-retain)*discmort);</t>
  </si>
  <si>
    <t>delete_Obs</t>
  </si>
  <si>
    <t>FIT_LEN_COMPS</t>
  </si>
  <si>
    <t>Age:</t>
  </si>
  <si>
    <t>env_link_</t>
  </si>
  <si>
    <t>INIT</t>
  </si>
  <si>
    <t>MEAN_BODY_WT_OUTPUT</t>
  </si>
  <si>
    <t>Name</t>
  </si>
  <si>
    <t>Obs_cat</t>
  </si>
  <si>
    <t>Exp_cat</t>
  </si>
  <si>
    <t>F_rate</t>
  </si>
  <si>
    <t>40%*Virgin_Biomass</t>
  </si>
  <si>
    <t>Bmsy/Bzero</t>
  </si>
  <si>
    <t>Updated:  Nov 29, 2014 for 3.30beta</t>
  </si>
  <si>
    <t>#V3.24Y</t>
  </si>
  <si>
    <t>SS-V3.24Y-safe;_08/27/2015;_Stock_Synthesis_by_Richard_Methot_(NOAA)_using_ADMB_11.1x64</t>
  </si>
  <si>
    <t>1950_1_Lsel</t>
  </si>
  <si>
    <t>1950_2_Lsel</t>
  </si>
  <si>
    <t>1989_2_Lsel</t>
  </si>
  <si>
    <t>1950_3_Lsel</t>
  </si>
  <si>
    <t>1989_3_Lsel</t>
  </si>
  <si>
    <t>BirthSeas</t>
  </si>
  <si>
    <t>SubMorph</t>
  </si>
  <si>
    <t>Age</t>
  </si>
  <si>
    <t>Mat_Bio</t>
  </si>
  <si>
    <t>Mat_Numbers</t>
  </si>
  <si>
    <t>Len:_4</t>
  </si>
  <si>
    <t>SelWt:_4</t>
  </si>
  <si>
    <t>Yr.S_is_midpoint_of_season_as_fraction_of_year</t>
  </si>
  <si>
    <t>Tue</t>
  </si>
  <si>
    <t>Apr</t>
  </si>
  <si>
    <t>SprAll</t>
  </si>
  <si>
    <t>(1-SPR)/(1-SPR_at_B34%)</t>
  </si>
  <si>
    <t>_abs_F;_with_F=Exploit(bio)</t>
  </si>
  <si>
    <t>Year_styr-3_(1960)_stores_average_used_for_benchmark</t>
  </si>
  <si>
    <t>1960_1_Lsel</t>
  </si>
  <si>
    <t>2011;</t>
  </si>
  <si>
    <t>1960_1Asel</t>
  </si>
  <si>
    <t>1963_1Asel</t>
  </si>
  <si>
    <t>2011_1Asel</t>
  </si>
  <si>
    <t>Len:_6</t>
  </si>
  <si>
    <t>SelWt:_6</t>
  </si>
  <si>
    <t>-1.#INF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</si>
</sst>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color theme="1"/>
      <name val="Calibri"/>
      <family val="2"/>
      <scheme val="minor"/>
    </font>
    <font>
      <b/>
      <sz val="8"/>
      <color indexed="81"/>
      <name val="Tahoma"/>
      <family val="2"/>
    </font>
    <font>
      <u/>
      <sz val="11"/>
      <color theme="10"/>
      <name val="Calibri"/>
      <family val="2"/>
    </font>
    <font>
      <b/>
      <sz val="18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996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23">
    <xf numFmtId="0" fontId="0" fillId="0" borderId="0" xfId="0"/>
    <xf numFmtId="0" fontId="1" fillId="0" borderId="0" xfId="1"/>
    <xf numFmtId="0" fontId="0" fillId="0" borderId="0" xfId="0" applyFont="1" applyFill="1"/>
    <xf numFmtId="11" fontId="1" fillId="0" borderId="0" xfId="1" applyNumberFormat="1"/>
    <xf numFmtId="0" fontId="1" fillId="3" borderId="0" xfId="1" applyFill="1"/>
    <xf numFmtId="0" fontId="1" fillId="0" borderId="0" xfId="1" applyAlignment="1">
      <alignment horizontal="right"/>
    </xf>
    <xf numFmtId="0" fontId="1" fillId="2" borderId="0" xfId="1" applyFill="1"/>
    <xf numFmtId="21" fontId="0" fillId="0" borderId="0" xfId="0" applyNumberFormat="1"/>
    <xf numFmtId="11" fontId="0" fillId="0" borderId="0" xfId="0" applyNumberFormat="1"/>
    <xf numFmtId="0" fontId="2" fillId="2" borderId="0" xfId="0" applyFont="1" applyFill="1"/>
    <xf numFmtId="0" fontId="0" fillId="2" borderId="0" xfId="0" applyFill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4" fillId="0" borderId="0" xfId="2" applyAlignment="1" applyProtection="1"/>
    <xf numFmtId="0" fontId="5" fillId="0" borderId="0" xfId="0" applyFont="1" applyFill="1"/>
    <xf numFmtId="0" fontId="4" fillId="0" borderId="0" xfId="2" applyAlignment="1" applyProtection="1">
      <alignment vertical="center"/>
    </xf>
    <xf numFmtId="0" fontId="0" fillId="0" borderId="0" xfId="0" applyNumberFormat="1"/>
    <xf numFmtId="0" fontId="6" fillId="0" borderId="0" xfId="0" applyFont="1"/>
    <xf numFmtId="0" fontId="2" fillId="0" borderId="0" xfId="0" applyFont="1"/>
    <xf numFmtId="0" fontId="8" fillId="5" borderId="0" xfId="0" applyFont="1" applyFill="1"/>
  </cellXfs>
  <cellStyles count="3">
    <cellStyle name="Hyperlink" xfId="2" builtinId="8"/>
    <cellStyle name="Normal" xfId="0" builtinId="0"/>
    <cellStyle name="Normal 2" xfId="1"/>
  </cellStyles>
  <dxfs count="0"/>
  <tableStyles count="0" defaultTableStyle="TableStyleMedium9" defaultPivotStyle="PivotStyleLight16"/>
  <colors>
    <mruColors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Summary Biomass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Time_Series!Yr</c:f>
              <c:numCache>
                <c:formatCode>General</c:formatCode>
                <c:ptCount val="3"/>
                <c:pt idx="0">
                  <c:v>1961</c:v>
                </c:pt>
                <c:pt idx="1">
                  <c:v>1961</c:v>
                </c:pt>
                <c:pt idx="2">
                  <c:v>1962</c:v>
                </c:pt>
              </c:numCache>
            </c:numRef>
          </c:xVal>
          <c:yVal>
            <c:numRef>
              <c:f>Time_Series!Bio_smry</c:f>
              <c:numCache>
                <c:formatCode>0.00E+00</c:formatCode>
                <c:ptCount val="3"/>
                <c:pt idx="0">
                  <c:v>2293070</c:v>
                </c:pt>
                <c:pt idx="1">
                  <c:v>2296390</c:v>
                </c:pt>
                <c:pt idx="2">
                  <c:v>1146620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8A-43D9-8746-1B0BFB882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130432"/>
        <c:axId val="148132224"/>
      </c:scatterChart>
      <c:valAx>
        <c:axId val="148130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8132224"/>
        <c:crosses val="autoZero"/>
        <c:crossBetween val="midCat"/>
      </c:valAx>
      <c:valAx>
        <c:axId val="148132224"/>
        <c:scaling>
          <c:orientation val="minMax"/>
        </c:scaling>
        <c:delete val="0"/>
        <c:axPos val="l"/>
        <c:numFmt formatCode="0.00E+00" sourceLinked="1"/>
        <c:majorTickMark val="out"/>
        <c:minorTickMark val="none"/>
        <c:tickLblPos val="nextTo"/>
        <c:crossAx val="148130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333" l="0.70000000000000062" r="0.70000000000000062" t="0.75000000000000333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SpawnBio</c:v>
          </c:tx>
          <c:marker>
            <c:symbol val="circle"/>
            <c:size val="4"/>
          </c:marker>
          <c:xVal>
            <c:numRef>
              <c:f>Time_Series!Yr</c:f>
              <c:numCache>
                <c:formatCode>General</c:formatCode>
                <c:ptCount val="3"/>
                <c:pt idx="0">
                  <c:v>1961</c:v>
                </c:pt>
                <c:pt idx="1">
                  <c:v>1961</c:v>
                </c:pt>
                <c:pt idx="2">
                  <c:v>1962</c:v>
                </c:pt>
              </c:numCache>
            </c:numRef>
          </c:xVal>
          <c:yVal>
            <c:numRef>
              <c:f>Time_Series!SpawnBio</c:f>
              <c:numCache>
                <c:formatCode>0.00E+00</c:formatCode>
                <c:ptCount val="3"/>
                <c:pt idx="1">
                  <c:v>2232170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A6-4F8D-91CC-413482A925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154240"/>
        <c:axId val="148155776"/>
      </c:scatterChart>
      <c:scatterChart>
        <c:scatterStyle val="lineMarker"/>
        <c:varyColors val="0"/>
        <c:ser>
          <c:idx val="1"/>
          <c:order val="1"/>
          <c:tx>
            <c:v>Recruits</c:v>
          </c:tx>
          <c:marker>
            <c:symbol val="none"/>
          </c:marker>
          <c:xVal>
            <c:numRef>
              <c:f>Time_Series!Yr</c:f>
              <c:numCache>
                <c:formatCode>General</c:formatCode>
                <c:ptCount val="3"/>
                <c:pt idx="0">
                  <c:v>1961</c:v>
                </c:pt>
                <c:pt idx="1">
                  <c:v>1961</c:v>
                </c:pt>
                <c:pt idx="2">
                  <c:v>1962</c:v>
                </c:pt>
              </c:numCache>
            </c:numRef>
          </c:xVal>
          <c:yVal>
            <c:numRef>
              <c:f>Time_Series!Recruit_0</c:f>
              <c:numCache>
                <c:formatCode>0.00E+00</c:formatCode>
                <c:ptCount val="3"/>
                <c:pt idx="0" formatCode="General">
                  <c:v>0</c:v>
                </c:pt>
                <c:pt idx="1">
                  <c:v>4515940</c:v>
                </c:pt>
                <c:pt idx="2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A6-4F8D-91CC-413482A925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159104"/>
        <c:axId val="148157568"/>
      </c:scatterChart>
      <c:valAx>
        <c:axId val="148154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8155776"/>
        <c:crosses val="autoZero"/>
        <c:crossBetween val="midCat"/>
      </c:valAx>
      <c:valAx>
        <c:axId val="14815577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48154240"/>
        <c:crosses val="autoZero"/>
        <c:crossBetween val="midCat"/>
      </c:valAx>
      <c:valAx>
        <c:axId val="14815756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48159104"/>
        <c:crosses val="max"/>
        <c:crossBetween val="midCat"/>
      </c:valAx>
      <c:valAx>
        <c:axId val="148159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481575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1176712824690044"/>
          <c:y val="0.56450460546364289"/>
          <c:w val="0.20130758439677801"/>
          <c:h val="0.18060337963372555"/>
        </c:manualLayout>
      </c:layout>
      <c:overlay val="1"/>
    </c:legend>
    <c:plotVisOnly val="1"/>
    <c:dispBlanksAs val="gap"/>
    <c:showDLblsOverMax val="0"/>
  </c:chart>
  <c:printSettings>
    <c:headerFooter/>
    <c:pageMargins b="0.75000000000000355" l="0.70000000000000062" r="0.70000000000000062" t="0.7500000000000035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82174103237124"/>
          <c:y val="5.1400554097404488E-2"/>
          <c:w val="0.73492585301838054"/>
          <c:h val="0.79822506561679785"/>
        </c:manualLayout>
      </c:layout>
      <c:scatterChart>
        <c:scatterStyle val="lineMarker"/>
        <c:varyColors val="0"/>
        <c:ser>
          <c:idx val="0"/>
          <c:order val="0"/>
          <c:tx>
            <c:strRef>
              <c:f>Annual!$O$8</c:f>
              <c:strCache>
                <c:ptCount val="1"/>
                <c:pt idx="0">
                  <c:v>Bio_Smry</c:v>
                </c:pt>
              </c:strCache>
            </c:strRef>
          </c:tx>
          <c:marker>
            <c:symbol val="none"/>
          </c:marker>
          <c:xVal>
            <c:numRef>
              <c:f>Annual!Year</c:f>
              <c:numCache>
                <c:formatCode>General</c:formatCode>
                <c:ptCount val="2"/>
                <c:pt idx="0">
                  <c:v>1963</c:v>
                </c:pt>
                <c:pt idx="1">
                  <c:v>1964</c:v>
                </c:pt>
              </c:numCache>
            </c:numRef>
          </c:xVal>
          <c:yVal>
            <c:numRef>
              <c:f>Annual!Bio_smry</c:f>
              <c:numCache>
                <c:formatCode>0.00E+00</c:formatCode>
                <c:ptCount val="2"/>
                <c:pt idx="0">
                  <c:v>1146620</c:v>
                </c:pt>
                <c:pt idx="1">
                  <c:v>1323830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99-40C5-8F84-843A186C12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31296"/>
        <c:axId val="148232832"/>
      </c:scatterChart>
      <c:scatterChart>
        <c:scatterStyle val="lineMarker"/>
        <c:varyColors val="0"/>
        <c:ser>
          <c:idx val="1"/>
          <c:order val="1"/>
          <c:tx>
            <c:strRef>
              <c:f>Annual!$Q$8</c:f>
              <c:strCache>
                <c:ptCount val="1"/>
                <c:pt idx="0">
                  <c:v>MnAge_Smry</c:v>
                </c:pt>
              </c:strCache>
            </c:strRef>
          </c:tx>
          <c:marker>
            <c:symbol val="none"/>
          </c:marker>
          <c:xVal>
            <c:numRef>
              <c:f>Annual!Year</c:f>
              <c:numCache>
                <c:formatCode>General</c:formatCode>
                <c:ptCount val="2"/>
                <c:pt idx="0">
                  <c:v>1963</c:v>
                </c:pt>
                <c:pt idx="1">
                  <c:v>1964</c:v>
                </c:pt>
              </c:numCache>
            </c:numRef>
          </c:xVal>
          <c:yVal>
            <c:numRef>
              <c:f>Annual!Dead_Catch</c:f>
              <c:numCache>
                <c:formatCode>General</c:formatCode>
                <c:ptCount val="2"/>
                <c:pt idx="0">
                  <c:v>2.8376800000000002</c:v>
                </c:pt>
                <c:pt idx="1">
                  <c:v>2.9473199999999999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99-40C5-8F84-843A186C12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48448"/>
        <c:axId val="148246912"/>
      </c:scatterChart>
      <c:valAx>
        <c:axId val="148231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8232832"/>
        <c:crosses val="autoZero"/>
        <c:crossBetween val="midCat"/>
      </c:valAx>
      <c:valAx>
        <c:axId val="148232832"/>
        <c:scaling>
          <c:orientation val="minMax"/>
        </c:scaling>
        <c:delete val="0"/>
        <c:axPos val="l"/>
        <c:numFmt formatCode="0.00E+00" sourceLinked="1"/>
        <c:majorTickMark val="out"/>
        <c:minorTickMark val="none"/>
        <c:tickLblPos val="nextTo"/>
        <c:crossAx val="148231296"/>
        <c:crosses val="autoZero"/>
        <c:crossBetween val="midCat"/>
      </c:valAx>
      <c:valAx>
        <c:axId val="1482469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48248448"/>
        <c:crosses val="max"/>
        <c:crossBetween val="midCat"/>
      </c:valAx>
      <c:valAx>
        <c:axId val="1482484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48246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5804155730533674"/>
          <c:y val="9.6838363954505707E-2"/>
          <c:w val="0.3316774234231083"/>
          <c:h val="0.30327737334720201"/>
        </c:manualLayout>
      </c:layout>
      <c:overlay val="0"/>
    </c:legend>
    <c:plotVisOnly val="1"/>
    <c:dispBlanksAs val="gap"/>
    <c:showDLblsOverMax val="0"/>
  </c:chart>
  <c:printSettings>
    <c:headerFooter/>
    <c:pageMargins b="0.75000000000000278" l="0.70000000000000062" r="0.70000000000000062" t="0.750000000000002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082174103237124"/>
          <c:y val="5.1400554097404488E-2"/>
          <c:w val="0.7349258530183812"/>
          <c:h val="0.79822506561679785"/>
        </c:manualLayout>
      </c:layout>
      <c:scatterChart>
        <c:scatterStyle val="lineMarker"/>
        <c:varyColors val="0"/>
        <c:ser>
          <c:idx val="0"/>
          <c:order val="0"/>
          <c:tx>
            <c:strRef>
              <c:f>Annual!$S$8</c:f>
              <c:strCache>
                <c:ptCount val="1"/>
                <c:pt idx="0">
                  <c:v>Dead_Catch</c:v>
                </c:pt>
              </c:strCache>
            </c:strRef>
          </c:tx>
          <c:marker>
            <c:symbol val="none"/>
          </c:marker>
          <c:xVal>
            <c:numRef>
              <c:f>Annual!Year</c:f>
              <c:numCache>
                <c:formatCode>General</c:formatCode>
                <c:ptCount val="2"/>
                <c:pt idx="0">
                  <c:v>1963</c:v>
                </c:pt>
                <c:pt idx="1">
                  <c:v>1964</c:v>
                </c:pt>
              </c:numCache>
            </c:numRef>
          </c:xVal>
          <c:yVal>
            <c:numRef>
              <c:f>Annual!SPB</c:f>
              <c:numCache>
                <c:formatCode>General</c:formatCode>
                <c:ptCount val="2"/>
                <c:pt idx="0">
                  <c:v>0</c:v>
                </c:pt>
                <c:pt idx="1">
                  <c:v>203071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04-482B-BF44-68415B6476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66368"/>
        <c:axId val="148280448"/>
      </c:scatterChart>
      <c:scatterChart>
        <c:scatterStyle val="lineMarker"/>
        <c:varyColors val="0"/>
        <c:ser>
          <c:idx val="1"/>
          <c:order val="1"/>
          <c:tx>
            <c:v>Recruits</c:v>
          </c:tx>
          <c:marker>
            <c:symbol val="none"/>
          </c:marker>
          <c:xVal>
            <c:numRef>
              <c:f>Annual!Year</c:f>
              <c:numCache>
                <c:formatCode>General</c:formatCode>
                <c:ptCount val="2"/>
                <c:pt idx="0">
                  <c:v>1963</c:v>
                </c:pt>
                <c:pt idx="1">
                  <c:v>1964</c:v>
                </c:pt>
              </c:numCache>
            </c:numRef>
          </c:xVal>
          <c:yVal>
            <c:numRef>
              <c:f>Annual!Recruits</c:f>
              <c:numCache>
                <c:formatCode>General</c:formatCode>
                <c:ptCount val="2"/>
                <c:pt idx="0">
                  <c:v>0</c:v>
                </c:pt>
                <c:pt idx="1">
                  <c:v>203071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04-482B-BF44-68415B6476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91968"/>
        <c:axId val="148281984"/>
      </c:scatterChart>
      <c:valAx>
        <c:axId val="148266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8280448"/>
        <c:crosses val="autoZero"/>
        <c:crossBetween val="midCat"/>
      </c:valAx>
      <c:valAx>
        <c:axId val="14828044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48266368"/>
        <c:crosses val="autoZero"/>
        <c:crossBetween val="midCat"/>
      </c:valAx>
      <c:valAx>
        <c:axId val="1482819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48291968"/>
        <c:crosses val="max"/>
        <c:crossBetween val="midCat"/>
      </c:valAx>
      <c:valAx>
        <c:axId val="1482919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482819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5804155730533674"/>
          <c:y val="9.6838363954505707E-2"/>
          <c:w val="0.26385752945988888"/>
          <c:h val="0.30327737334720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82174103237124"/>
          <c:y val="5.1400554097404488E-2"/>
          <c:w val="0.73492585301838187"/>
          <c:h val="0.79822506561679785"/>
        </c:manualLayout>
      </c:layout>
      <c:scatterChart>
        <c:scatterStyle val="lineMarker"/>
        <c:varyColors val="0"/>
        <c:ser>
          <c:idx val="0"/>
          <c:order val="0"/>
          <c:tx>
            <c:strRef>
              <c:f>Annual!$H$8</c:f>
              <c:strCache>
                <c:ptCount val="1"/>
                <c:pt idx="0">
                  <c:v>SPR_std</c:v>
                </c:pt>
              </c:strCache>
            </c:strRef>
          </c:tx>
          <c:marker>
            <c:symbol val="none"/>
          </c:marker>
          <c:xVal>
            <c:numRef>
              <c:f>Annual!Year</c:f>
              <c:numCache>
                <c:formatCode>General</c:formatCode>
                <c:ptCount val="2"/>
                <c:pt idx="0">
                  <c:v>1963</c:v>
                </c:pt>
                <c:pt idx="1">
                  <c:v>1964</c:v>
                </c:pt>
              </c:numCache>
            </c:numRef>
          </c:xVal>
          <c:yVal>
            <c:numRef>
              <c:f>Annual!SPR_std</c:f>
              <c:numCache>
                <c:formatCode>General</c:formatCode>
                <c:ptCount val="2"/>
                <c:pt idx="1">
                  <c:v>0.88919300000000001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6E-46EC-B3BF-CB10AC089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863424"/>
        <c:axId val="147864960"/>
      </c:scatterChart>
      <c:scatterChart>
        <c:scatterStyle val="lineMarker"/>
        <c:varyColors val="0"/>
        <c:ser>
          <c:idx val="1"/>
          <c:order val="1"/>
          <c:tx>
            <c:strRef>
              <c:f>Annual!$L$8</c:f>
              <c:strCache>
                <c:ptCount val="1"/>
                <c:pt idx="0">
                  <c:v>F_std</c:v>
                </c:pt>
              </c:strCache>
            </c:strRef>
          </c:tx>
          <c:marker>
            <c:symbol val="none"/>
          </c:marker>
          <c:xVal>
            <c:numRef>
              <c:f>Annual!Year</c:f>
              <c:numCache>
                <c:formatCode>General</c:formatCode>
                <c:ptCount val="2"/>
                <c:pt idx="0">
                  <c:v>1963</c:v>
                </c:pt>
                <c:pt idx="1">
                  <c:v>1964</c:v>
                </c:pt>
              </c:numCache>
            </c:numRef>
          </c:xVal>
          <c:yVal>
            <c:numRef>
              <c:f>Annual!F_std</c:f>
              <c:numCache>
                <c:formatCode>General</c:formatCode>
                <c:ptCount val="2"/>
                <c:pt idx="1">
                  <c:v>0.15339700000000001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06E-46EC-B3BF-CB10AC089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872384"/>
        <c:axId val="147870848"/>
      </c:scatterChart>
      <c:valAx>
        <c:axId val="147863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7864960"/>
        <c:crosses val="autoZero"/>
        <c:crossBetween val="midCat"/>
      </c:valAx>
      <c:valAx>
        <c:axId val="147864960"/>
        <c:scaling>
          <c:orientation val="minMax"/>
        </c:scaling>
        <c:delete val="0"/>
        <c:axPos val="l"/>
        <c:numFmt formatCode="#,##0.00" sourceLinked="0"/>
        <c:majorTickMark val="out"/>
        <c:minorTickMark val="none"/>
        <c:tickLblPos val="nextTo"/>
        <c:crossAx val="147863424"/>
        <c:crosses val="autoZero"/>
        <c:crossBetween val="midCat"/>
      </c:valAx>
      <c:valAx>
        <c:axId val="147870848"/>
        <c:scaling>
          <c:orientation val="minMax"/>
        </c:scaling>
        <c:delete val="0"/>
        <c:axPos val="r"/>
        <c:numFmt formatCode="#,##0.00" sourceLinked="0"/>
        <c:majorTickMark val="out"/>
        <c:minorTickMark val="none"/>
        <c:tickLblPos val="nextTo"/>
        <c:crossAx val="147872384"/>
        <c:crosses val="max"/>
        <c:crossBetween val="midCat"/>
      </c:valAx>
      <c:valAx>
        <c:axId val="147872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478708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938333065363595"/>
          <c:y val="9.6838178246587095E-2"/>
          <c:w val="0.2981344354097743"/>
          <c:h val="0.22780567523399187"/>
        </c:manualLayout>
      </c:layout>
      <c:overlay val="0"/>
    </c:legend>
    <c:plotVisOnly val="1"/>
    <c:dispBlanksAs val="gap"/>
    <c:showDLblsOverMax val="0"/>
  </c:chart>
  <c:printSettings>
    <c:headerFooter/>
    <c:pageMargins b="0.75000000000000322" l="0.70000000000000062" r="0.70000000000000062" t="0.7500000000000032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82174103237124"/>
          <c:y val="5.1400554097404488E-2"/>
          <c:w val="0.73492585301838254"/>
          <c:h val="0.79822506561679785"/>
        </c:manualLayout>
      </c:layout>
      <c:scatterChart>
        <c:scatterStyle val="lineMarker"/>
        <c:varyColors val="0"/>
        <c:ser>
          <c:idx val="0"/>
          <c:order val="0"/>
          <c:tx>
            <c:strRef>
              <c:f>Annual!$Q$8</c:f>
              <c:strCache>
                <c:ptCount val="1"/>
                <c:pt idx="0">
                  <c:v>MnAge_Smry</c:v>
                </c:pt>
              </c:strCache>
            </c:strRef>
          </c:tx>
          <c:marker>
            <c:symbol val="none"/>
          </c:marker>
          <c:xVal>
            <c:numRef>
              <c:f>Annual!Year</c:f>
              <c:numCache>
                <c:formatCode>General</c:formatCode>
                <c:ptCount val="2"/>
                <c:pt idx="0">
                  <c:v>1963</c:v>
                </c:pt>
                <c:pt idx="1">
                  <c:v>1964</c:v>
                </c:pt>
              </c:numCache>
            </c:numRef>
          </c:xVal>
          <c:yVal>
            <c:numRef>
              <c:f>Annual!Dead_Catch</c:f>
              <c:numCache>
                <c:formatCode>General</c:formatCode>
                <c:ptCount val="2"/>
                <c:pt idx="0">
                  <c:v>2.8376800000000002</c:v>
                </c:pt>
                <c:pt idx="1">
                  <c:v>2.9473199999999999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A5-42B7-8190-E3E6CC0C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176896"/>
        <c:axId val="148178432"/>
      </c:scatterChart>
      <c:scatterChart>
        <c:scatterStyle val="lineMarker"/>
        <c:varyColors val="0"/>
        <c:ser>
          <c:idx val="1"/>
          <c:order val="1"/>
          <c:tx>
            <c:strRef>
              <c:f>Annual!$L$8</c:f>
              <c:strCache>
                <c:ptCount val="1"/>
                <c:pt idx="0">
                  <c:v>F_std</c:v>
                </c:pt>
              </c:strCache>
            </c:strRef>
          </c:tx>
          <c:marker>
            <c:symbol val="none"/>
          </c:marker>
          <c:xVal>
            <c:numRef>
              <c:f>Annual!Year</c:f>
              <c:numCache>
                <c:formatCode>General</c:formatCode>
                <c:ptCount val="2"/>
                <c:pt idx="0">
                  <c:v>1963</c:v>
                </c:pt>
                <c:pt idx="1">
                  <c:v>1964</c:v>
                </c:pt>
              </c:numCache>
            </c:numRef>
          </c:xVal>
          <c:yVal>
            <c:numRef>
              <c:f>Annual!F_std</c:f>
              <c:numCache>
                <c:formatCode>General</c:formatCode>
                <c:ptCount val="2"/>
                <c:pt idx="1">
                  <c:v>0.15339700000000001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A5-42B7-8190-E3E6CC0C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189952"/>
        <c:axId val="148179968"/>
      </c:scatterChart>
      <c:valAx>
        <c:axId val="148176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8178432"/>
        <c:crosses val="autoZero"/>
        <c:crossBetween val="midCat"/>
      </c:valAx>
      <c:valAx>
        <c:axId val="148178432"/>
        <c:scaling>
          <c:orientation val="minMax"/>
        </c:scaling>
        <c:delete val="0"/>
        <c:axPos val="l"/>
        <c:numFmt formatCode="0" sourceLinked="0"/>
        <c:majorTickMark val="out"/>
        <c:minorTickMark val="none"/>
        <c:tickLblPos val="nextTo"/>
        <c:crossAx val="148176896"/>
        <c:crosses val="autoZero"/>
        <c:crossBetween val="midCat"/>
      </c:valAx>
      <c:valAx>
        <c:axId val="148179968"/>
        <c:scaling>
          <c:orientation val="minMax"/>
        </c:scaling>
        <c:delete val="0"/>
        <c:axPos val="r"/>
        <c:numFmt formatCode="#,##0.00" sourceLinked="0"/>
        <c:majorTickMark val="out"/>
        <c:minorTickMark val="none"/>
        <c:tickLblPos val="nextTo"/>
        <c:crossAx val="148189952"/>
        <c:crosses val="max"/>
        <c:crossBetween val="midCat"/>
      </c:valAx>
      <c:valAx>
        <c:axId val="1481899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481799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938333065363595"/>
          <c:y val="9.6838178246587095E-2"/>
          <c:w val="0.39457052594811176"/>
          <c:h val="0.278120140642797"/>
        </c:manualLayout>
      </c:layout>
      <c:overlay val="0"/>
    </c:legend>
    <c:plotVisOnly val="1"/>
    <c:dispBlanksAs val="gap"/>
    <c:showDLblsOverMax val="0"/>
  </c:chart>
  <c:printSettings>
    <c:headerFooter/>
    <c:pageMargins b="0.75000000000000344" l="0.70000000000000062" r="0.70000000000000062" t="0.75000000000000344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SRR!$C$15</c:f>
              <c:strCache>
                <c:ptCount val="1"/>
                <c:pt idx="0">
                  <c:v>exp_recr</c:v>
                </c:pt>
              </c:strCache>
            </c:strRef>
          </c:tx>
          <c:marker>
            <c:symbol val="none"/>
          </c:marker>
          <c:xVal>
            <c:numRef>
              <c:f>SRR!$B$17:$B$17</c:f>
              <c:numCache>
                <c:formatCode>0.00E+00</c:formatCode>
                <c:ptCount val="1"/>
                <c:pt idx="0">
                  <c:v>2232170</c:v>
                </c:pt>
              </c:numCache>
            </c:numRef>
          </c:xVal>
          <c:yVal>
            <c:numRef>
              <c:f>SRR!$C$17:$C$17</c:f>
              <c:numCache>
                <c:formatCode>0.00E+00</c:formatCode>
                <c:ptCount val="1"/>
                <c:pt idx="0">
                  <c:v>4515940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63-4606-AD3D-F32863E26927}"/>
            </c:ext>
          </c:extLst>
        </c:ser>
        <c:ser>
          <c:idx val="1"/>
          <c:order val="1"/>
          <c:tx>
            <c:strRef>
              <c:f>SRR!$D$15</c:f>
              <c:strCache>
                <c:ptCount val="1"/>
                <c:pt idx="0">
                  <c:v>with_env</c:v>
                </c:pt>
              </c:strCache>
            </c:strRef>
          </c:tx>
          <c:spPr>
            <a:ln>
              <a:solidFill>
                <a:srgbClr val="0070C0"/>
              </a:solidFill>
              <a:prstDash val="sysDash"/>
            </a:ln>
          </c:spPr>
          <c:marker>
            <c:symbol val="none"/>
          </c:marker>
          <c:xVal>
            <c:numRef>
              <c:f>SRR!$B$17:$B$17</c:f>
              <c:numCache>
                <c:formatCode>0.00E+00</c:formatCode>
                <c:ptCount val="1"/>
                <c:pt idx="0">
                  <c:v>2232170</c:v>
                </c:pt>
              </c:numCache>
            </c:numRef>
          </c:xVal>
          <c:yVal>
            <c:numRef>
              <c:f>SRR!$D$17:$D$17</c:f>
              <c:numCache>
                <c:formatCode>0.00E+00</c:formatCode>
                <c:ptCount val="1"/>
                <c:pt idx="0">
                  <c:v>4515940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63-4606-AD3D-F32863E26927}"/>
            </c:ext>
          </c:extLst>
        </c:ser>
        <c:ser>
          <c:idx val="2"/>
          <c:order val="2"/>
          <c:tx>
            <c:strRef>
              <c:f>SRR!$E$15</c:f>
              <c:strCache>
                <c:ptCount val="1"/>
                <c:pt idx="0">
                  <c:v>adjusted</c:v>
                </c:pt>
              </c:strCache>
            </c:strRef>
          </c:tx>
          <c:spPr>
            <a:ln w="12700">
              <a:solidFill>
                <a:srgbClr val="92D050"/>
              </a:solidFill>
            </a:ln>
          </c:spPr>
          <c:marker>
            <c:symbol val="x"/>
            <c:size val="3"/>
          </c:marker>
          <c:xVal>
            <c:numRef>
              <c:f>SRR!$B$17:$B$17</c:f>
              <c:numCache>
                <c:formatCode>0.00E+00</c:formatCode>
                <c:ptCount val="1"/>
                <c:pt idx="0">
                  <c:v>2232170</c:v>
                </c:pt>
              </c:numCache>
            </c:numRef>
          </c:xVal>
          <c:yVal>
            <c:numRef>
              <c:f>SRR!$E$17:$E$17</c:f>
              <c:numCache>
                <c:formatCode>0.00E+00</c:formatCode>
                <c:ptCount val="1"/>
                <c:pt idx="0">
                  <c:v>4515940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B63-4606-AD3D-F32863E26927}"/>
            </c:ext>
          </c:extLst>
        </c:ser>
        <c:ser>
          <c:idx val="3"/>
          <c:order val="3"/>
          <c:tx>
            <c:strRef>
              <c:f>SRR!$F$15</c:f>
              <c:strCache>
                <c:ptCount val="1"/>
                <c:pt idx="0">
                  <c:v>pred_recr</c:v>
                </c:pt>
              </c:strCache>
            </c:strRef>
          </c:tx>
          <c:spPr>
            <a:ln w="12700">
              <a:solidFill>
                <a:schemeClr val="tx1"/>
              </a:solidFill>
              <a:prstDash val="sysDot"/>
            </a:ln>
          </c:spPr>
          <c:marker>
            <c:symbol val="circle"/>
            <c:size val="4"/>
            <c:spPr>
              <a:noFill/>
            </c:spPr>
          </c:marker>
          <c:xVal>
            <c:numRef>
              <c:f>SRR!$B$17:$B$17</c:f>
              <c:numCache>
                <c:formatCode>0.00E+00</c:formatCode>
                <c:ptCount val="1"/>
                <c:pt idx="0">
                  <c:v>2232170</c:v>
                </c:pt>
              </c:numCache>
            </c:numRef>
          </c:xVal>
          <c:yVal>
            <c:numRef>
              <c:f>SRR!$F$17:$F$17</c:f>
              <c:numCache>
                <c:formatCode>0.00E+00</c:formatCode>
                <c:ptCount val="1"/>
                <c:pt idx="0">
                  <c:v>4515940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B63-4606-AD3D-F32863E269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68800"/>
        <c:axId val="149079168"/>
      </c:scatterChart>
      <c:valAx>
        <c:axId val="149068800"/>
        <c:scaling>
          <c:orientation val="minMax"/>
        </c:scaling>
        <c:delete val="0"/>
        <c:axPos val="b"/>
        <c:numFmt formatCode="0.00E+00" sourceLinked="1"/>
        <c:majorTickMark val="out"/>
        <c:minorTickMark val="none"/>
        <c:tickLblPos val="nextTo"/>
        <c:crossAx val="149079168"/>
        <c:crosses val="autoZero"/>
        <c:crossBetween val="midCat"/>
      </c:valAx>
      <c:valAx>
        <c:axId val="149079168"/>
        <c:scaling>
          <c:orientation val="minMax"/>
        </c:scaling>
        <c:delete val="0"/>
        <c:axPos val="l"/>
        <c:numFmt formatCode="0.00E+00" sourceLinked="1"/>
        <c:majorTickMark val="out"/>
        <c:minorTickMark val="none"/>
        <c:tickLblPos val="nextTo"/>
        <c:crossAx val="14906880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278" l="0.70000000000000062" r="0.70000000000000062" t="0.75000000000000278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SRR!$C$15</c:f>
              <c:strCache>
                <c:ptCount val="1"/>
                <c:pt idx="0">
                  <c:v>exp_recr</c:v>
                </c:pt>
              </c:strCache>
            </c:strRef>
          </c:tx>
          <c:spPr>
            <a:ln w="31750">
              <a:solidFill>
                <a:srgbClr val="0070C0"/>
              </a:solidFill>
            </a:ln>
          </c:spPr>
          <c:marker>
            <c:symbol val="none"/>
          </c:marker>
          <c:cat>
            <c:strRef>
              <c:f>SRR!$A$17:$A$17</c:f>
              <c:strCache>
                <c:ptCount val="1"/>
                <c:pt idx="0">
                  <c:v>Virg</c:v>
                </c:pt>
              </c:strCache>
            </c:strRef>
          </c:cat>
          <c:val>
            <c:numRef>
              <c:f>SRR!$C$17:$C$17</c:f>
              <c:numCache>
                <c:formatCode>0.00E+00</c:formatCode>
                <c:ptCount val="1"/>
                <c:pt idx="0">
                  <c:v>4515940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51-4CC4-A341-D4824FCB45B5}"/>
            </c:ext>
          </c:extLst>
        </c:ser>
        <c:ser>
          <c:idx val="0"/>
          <c:order val="1"/>
          <c:tx>
            <c:strRef>
              <c:f>SRR!$D$15</c:f>
              <c:strCache>
                <c:ptCount val="1"/>
                <c:pt idx="0">
                  <c:v>with_env</c:v>
                </c:pt>
              </c:strCache>
            </c:strRef>
          </c:tx>
          <c:spPr>
            <a:ln w="19050">
              <a:prstDash val="sysDash"/>
            </a:ln>
          </c:spPr>
          <c:marker>
            <c:symbol val="none"/>
          </c:marker>
          <c:val>
            <c:numRef>
              <c:f>SRR!$D$17:$D$17</c:f>
              <c:numCache>
                <c:formatCode>0.00E+00</c:formatCode>
                <c:ptCount val="1"/>
                <c:pt idx="0">
                  <c:v>4515940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51-4CC4-A341-D4824FCB45B5}"/>
            </c:ext>
          </c:extLst>
        </c:ser>
        <c:ser>
          <c:idx val="1"/>
          <c:order val="2"/>
          <c:tx>
            <c:strRef>
              <c:f>SRR!$E$15</c:f>
              <c:strCache>
                <c:ptCount val="1"/>
                <c:pt idx="0">
                  <c:v>adjusted</c:v>
                </c:pt>
              </c:strCache>
            </c:strRef>
          </c:tx>
          <c:spPr>
            <a:ln w="12700">
              <a:solidFill>
                <a:srgbClr val="92D050"/>
              </a:solidFill>
            </a:ln>
          </c:spPr>
          <c:marker>
            <c:symbol val="x"/>
            <c:size val="5"/>
            <c:spPr>
              <a:noFill/>
              <a:ln>
                <a:solidFill>
                  <a:srgbClr val="92D050"/>
                </a:solidFill>
              </a:ln>
            </c:spPr>
          </c:marker>
          <c:val>
            <c:numRef>
              <c:f>SRR!$E$17:$E$17</c:f>
              <c:numCache>
                <c:formatCode>0.00E+00</c:formatCode>
                <c:ptCount val="1"/>
                <c:pt idx="0">
                  <c:v>4515940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351-4CC4-A341-D4824FCB45B5}"/>
            </c:ext>
          </c:extLst>
        </c:ser>
        <c:ser>
          <c:idx val="3"/>
          <c:order val="3"/>
          <c:tx>
            <c:strRef>
              <c:f>SRR!$F$15</c:f>
              <c:strCache>
                <c:ptCount val="1"/>
                <c:pt idx="0">
                  <c:v>pred_recr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5"/>
            <c:spPr>
              <a:noFill/>
            </c:spPr>
          </c:marker>
          <c:val>
            <c:numRef>
              <c:f>SRR!$F$17:$F$17</c:f>
              <c:numCache>
                <c:formatCode>0.00E+00</c:formatCode>
                <c:ptCount val="1"/>
                <c:pt idx="0">
                  <c:v>4515940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351-4CC4-A341-D4824FCB45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781696"/>
        <c:axId val="148796160"/>
      </c:lineChart>
      <c:catAx>
        <c:axId val="148781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8796160"/>
        <c:crosses val="autoZero"/>
        <c:auto val="1"/>
        <c:lblAlgn val="ctr"/>
        <c:lblOffset val="100"/>
        <c:noMultiLvlLbl val="0"/>
      </c:catAx>
      <c:valAx>
        <c:axId val="148796160"/>
        <c:scaling>
          <c:orientation val="minMax"/>
        </c:scaling>
        <c:delete val="0"/>
        <c:axPos val="l"/>
        <c:numFmt formatCode="0.00E+00" sourceLinked="1"/>
        <c:majorTickMark val="out"/>
        <c:minorTickMark val="none"/>
        <c:tickLblPos val="nextTo"/>
        <c:crossAx val="1487816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454984665993006"/>
          <c:y val="5.0403275425351474E-2"/>
          <c:w val="0.74526109466471913"/>
          <c:h val="0.7983878827375665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C0C0C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SURVEY!Yr</c:f>
              <c:numCache>
                <c:formatCode>General</c:formatCode>
                <c:ptCount val="5"/>
                <c:pt idx="0">
                  <c:v>1968.25</c:v>
                </c:pt>
                <c:pt idx="1">
                  <c:v>1969.25</c:v>
                </c:pt>
                <c:pt idx="2">
                  <c:v>1970.25</c:v>
                </c:pt>
                <c:pt idx="3">
                  <c:v>1971.25</c:v>
                </c:pt>
                <c:pt idx="4">
                  <c:v>1972.25</c:v>
                </c:pt>
              </c:numCache>
            </c:numRef>
          </c:xVal>
          <c:yVal>
            <c:numRef>
              <c:f>SURVEY!OBS</c:f>
              <c:numCache>
                <c:formatCode>General</c:formatCode>
                <c:ptCount val="5"/>
                <c:pt idx="0">
                  <c:v>26.91</c:v>
                </c:pt>
                <c:pt idx="1">
                  <c:v>11.15</c:v>
                </c:pt>
                <c:pt idx="2">
                  <c:v>8.23</c:v>
                </c:pt>
                <c:pt idx="3">
                  <c:v>1.81</c:v>
                </c:pt>
                <c:pt idx="4">
                  <c:v>2.86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F5-49CD-B9C9-8BBF55095698}"/>
            </c:ext>
          </c:extLst>
        </c:ser>
        <c:ser>
          <c:idx val="1"/>
          <c:order val="1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SURVEY!Yr</c:f>
              <c:numCache>
                <c:formatCode>General</c:formatCode>
                <c:ptCount val="5"/>
                <c:pt idx="0">
                  <c:v>1968.25</c:v>
                </c:pt>
                <c:pt idx="1">
                  <c:v>1969.25</c:v>
                </c:pt>
                <c:pt idx="2">
                  <c:v>1970.25</c:v>
                </c:pt>
                <c:pt idx="3">
                  <c:v>1971.25</c:v>
                </c:pt>
                <c:pt idx="4">
                  <c:v>1972.25</c:v>
                </c:pt>
              </c:numCache>
            </c:numRef>
          </c:xVal>
          <c:yVal>
            <c:numRef>
              <c:f>SURVEY!Exp</c:f>
              <c:numCache>
                <c:formatCode>General</c:formatCode>
                <c:ptCount val="5"/>
                <c:pt idx="0">
                  <c:v>10.4902</c:v>
                </c:pt>
                <c:pt idx="1">
                  <c:v>8.9789300000000001</c:v>
                </c:pt>
                <c:pt idx="2">
                  <c:v>6.7875399999999999</c:v>
                </c:pt>
                <c:pt idx="3">
                  <c:v>5.3750999999999998</c:v>
                </c:pt>
                <c:pt idx="4">
                  <c:v>5.6986600000000003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F5-49CD-B9C9-8BBF55095698}"/>
            </c:ext>
          </c:extLst>
        </c:ser>
        <c:ser>
          <c:idx val="2"/>
          <c:order val="2"/>
          <c:tx>
            <c:strRef>
              <c:f>SURVEY!$Q$4</c:f>
              <c:strCache>
                <c:ptCount val="1"/>
                <c:pt idx="0">
                  <c:v>delete_Obs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SURVEY!Yr</c:f>
              <c:numCache>
                <c:formatCode>General</c:formatCode>
                <c:ptCount val="5"/>
                <c:pt idx="0">
                  <c:v>1968.25</c:v>
                </c:pt>
                <c:pt idx="1">
                  <c:v>1969.25</c:v>
                </c:pt>
                <c:pt idx="2">
                  <c:v>1970.25</c:v>
                </c:pt>
                <c:pt idx="3">
                  <c:v>1971.25</c:v>
                </c:pt>
                <c:pt idx="4">
                  <c:v>1972.25</c:v>
                </c:pt>
              </c:numCache>
            </c:numRef>
          </c:xVal>
          <c:yVal>
            <c:numRef>
              <c:f>SURVEY!delete_OBS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AF5-49CD-B9C9-8BBF55095698}"/>
            </c:ext>
          </c:extLst>
        </c:ser>
        <c:ser>
          <c:idx val="3"/>
          <c:order val="3"/>
          <c:spPr>
            <a:ln w="28575">
              <a:noFill/>
            </a:ln>
          </c:spPr>
          <c:marker>
            <c:symbol val="dash"/>
            <c:size val="8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SURVEY!Yr</c:f>
              <c:numCache>
                <c:formatCode>General</c:formatCode>
                <c:ptCount val="5"/>
                <c:pt idx="0">
                  <c:v>1968.25</c:v>
                </c:pt>
                <c:pt idx="1">
                  <c:v>1969.25</c:v>
                </c:pt>
                <c:pt idx="2">
                  <c:v>1970.25</c:v>
                </c:pt>
                <c:pt idx="3">
                  <c:v>1971.25</c:v>
                </c:pt>
                <c:pt idx="4">
                  <c:v>1972.25</c:v>
                </c:pt>
              </c:numCache>
            </c:numRef>
          </c:xVal>
          <c:yVal>
            <c:numRef>
              <c:f>SURVEY!se2_low</c:f>
              <c:numCache>
                <c:formatCode>General</c:formatCode>
                <c:ptCount val="5"/>
                <c:pt idx="0">
                  <c:v>12.315541048828054</c:v>
                </c:pt>
                <c:pt idx="1">
                  <c:v>4.7645519242804921</c:v>
                </c:pt>
                <c:pt idx="2">
                  <c:v>3.8171803228733823</c:v>
                </c:pt>
                <c:pt idx="3">
                  <c:v>1.0630082339426423</c:v>
                </c:pt>
                <c:pt idx="4">
                  <c:v>1.6739793308553392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AF5-49CD-B9C9-8BBF55095698}"/>
            </c:ext>
          </c:extLst>
        </c:ser>
        <c:ser>
          <c:idx val="4"/>
          <c:order val="4"/>
          <c:spPr>
            <a:ln w="28575">
              <a:noFill/>
            </a:ln>
          </c:spPr>
          <c:marker>
            <c:symbol val="dash"/>
            <c:size val="8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SURVEY!Yr</c:f>
              <c:numCache>
                <c:formatCode>General</c:formatCode>
                <c:ptCount val="5"/>
                <c:pt idx="0">
                  <c:v>1968.25</c:v>
                </c:pt>
                <c:pt idx="1">
                  <c:v>1969.25</c:v>
                </c:pt>
                <c:pt idx="2">
                  <c:v>1970.25</c:v>
                </c:pt>
                <c:pt idx="3">
                  <c:v>1971.25</c:v>
                </c:pt>
                <c:pt idx="4">
                  <c:v>1972.25</c:v>
                </c:pt>
              </c:numCache>
            </c:numRef>
          </c:xVal>
          <c:yVal>
            <c:numRef>
              <c:f>SURVEY!se2_hi</c:f>
              <c:numCache>
                <c:formatCode>General</c:formatCode>
                <c:ptCount val="5"/>
                <c:pt idx="0">
                  <c:v>58.799536060083199</c:v>
                </c:pt>
                <c:pt idx="1">
                  <c:v>26.093219672230621</c:v>
                </c:pt>
                <c:pt idx="2">
                  <c:v>17.744223293337651</c:v>
                </c:pt>
                <c:pt idx="3">
                  <c:v>3.0819140392253743</c:v>
                </c:pt>
                <c:pt idx="4">
                  <c:v>4.8863207861835054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AF5-49CD-B9C9-8BBF550956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941056"/>
        <c:axId val="148951424"/>
      </c:scatterChart>
      <c:scatterChart>
        <c:scatterStyle val="lineMarker"/>
        <c:varyColors val="0"/>
        <c:ser>
          <c:idx val="5"/>
          <c:order val="5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SURVEY!Yr</c:f>
              <c:numCache>
                <c:formatCode>General</c:formatCode>
                <c:ptCount val="5"/>
                <c:pt idx="0">
                  <c:v>1968.25</c:v>
                </c:pt>
                <c:pt idx="1">
                  <c:v>1969.25</c:v>
                </c:pt>
                <c:pt idx="2">
                  <c:v>1970.25</c:v>
                </c:pt>
                <c:pt idx="3">
                  <c:v>1971.25</c:v>
                </c:pt>
                <c:pt idx="4">
                  <c:v>1972.25</c:v>
                </c:pt>
              </c:numCache>
            </c:numRef>
          </c:xVal>
          <c:yVal>
            <c:numRef>
              <c:f>SURVEY!Eff_Q</c:f>
              <c:numCache>
                <c:formatCode>0.00E+00</c:formatCode>
                <c:ptCount val="5"/>
                <c:pt idx="0">
                  <c:v>1.70131E-6</c:v>
                </c:pt>
                <c:pt idx="1">
                  <c:v>1.70131E-6</c:v>
                </c:pt>
                <c:pt idx="2">
                  <c:v>1.70131E-6</c:v>
                </c:pt>
                <c:pt idx="3">
                  <c:v>1.70131E-6</c:v>
                </c:pt>
                <c:pt idx="4">
                  <c:v>1.70131E-6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AF5-49CD-B9C9-8BBF550956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953344"/>
        <c:axId val="148955136"/>
      </c:scatterChart>
      <c:valAx>
        <c:axId val="1489410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9052157579828898"/>
              <c:y val="0.9254040724748169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8951424"/>
        <c:crosses val="autoZero"/>
        <c:crossBetween val="midCat"/>
        <c:majorUnit val="3"/>
      </c:valAx>
      <c:valAx>
        <c:axId val="14895142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CPUE</a:t>
                </a:r>
              </a:p>
            </c:rich>
          </c:tx>
          <c:layout>
            <c:manualLayout>
              <c:xMode val="edge"/>
              <c:yMode val="edge"/>
              <c:x val="3.7914691943127965E-2"/>
              <c:y val="0.4032262297857928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8941056"/>
        <c:crosses val="autoZero"/>
        <c:crossBetween val="midCat"/>
      </c:valAx>
      <c:valAx>
        <c:axId val="1489533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48955136"/>
        <c:crosses val="autoZero"/>
        <c:crossBetween val="midCat"/>
      </c:valAx>
      <c:valAx>
        <c:axId val="14895513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Q</a:t>
                </a:r>
              </a:p>
            </c:rich>
          </c:tx>
          <c:layout>
            <c:manualLayout>
              <c:xMode val="edge"/>
              <c:yMode val="edge"/>
              <c:x val="0.93483462079088464"/>
              <c:y val="0.43145203623740846"/>
            </c:manualLayout>
          </c:layout>
          <c:overlay val="0"/>
          <c:spPr>
            <a:noFill/>
            <a:ln w="25400">
              <a:noFill/>
            </a:ln>
          </c:spPr>
        </c:title>
        <c:numFmt formatCode="0.00E+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8953344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433" r="0.75000000000000433" t="1" header="0.5" footer="0.5"/>
    <c:pageSetup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EXPECT</a:t>
            </a:r>
          </a:p>
        </c:rich>
      </c:tx>
      <c:layout>
        <c:manualLayout>
          <c:xMode val="edge"/>
          <c:yMode val="edge"/>
          <c:x val="0.44419644776236877"/>
          <c:y val="3.03030303030303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49107142857223"/>
          <c:y val="7.4592244391582033E-2"/>
          <c:w val="0.84486607142857795"/>
          <c:h val="0.69464027589660704"/>
        </c:manualLayout>
      </c:layout>
      <c:bubbleChart>
        <c:varyColors val="0"/>
        <c:ser>
          <c:idx val="0"/>
          <c:order val="0"/>
          <c:spPr>
            <a:noFill/>
            <a:ln w="12700">
              <a:solidFill>
                <a:srgbClr val="000000"/>
              </a:solidFill>
              <a:prstDash val="solid"/>
            </a:ln>
          </c:spPr>
          <c:invertIfNegative val="1"/>
          <c:xVal>
            <c:numRef>
              <c:f>Comp_Disp!Yr</c:f>
              <c:numCache>
                <c:formatCode>General</c:formatCode>
                <c:ptCount val="25"/>
                <c:pt idx="0">
                  <c:v>1968.25</c:v>
                </c:pt>
                <c:pt idx="1">
                  <c:v>1968.25</c:v>
                </c:pt>
                <c:pt idx="2">
                  <c:v>1968.25</c:v>
                </c:pt>
                <c:pt idx="3">
                  <c:v>1968.25</c:v>
                </c:pt>
              </c:numCache>
            </c:numRef>
          </c:xVal>
          <c:yVal>
            <c:numRef>
              <c:f>Comp_Disp!Bin</c:f>
              <c:numCache>
                <c:formatCode>General</c:formatCode>
                <c:ptCount val="25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</c:numCache>
            </c:numRef>
          </c:yVal>
          <c:bubbleSize>
            <c:numRef>
              <c:f>Comp_Disp!Exp</c:f>
              <c:numCache>
                <c:formatCode>0.00E+00</c:formatCode>
                <c:ptCount val="25"/>
                <c:pt idx="0">
                  <c:v>5.4169199999999998E-4</c:v>
                </c:pt>
                <c:pt idx="1">
                  <c:v>7.8852000000000002E-4</c:v>
                </c:pt>
                <c:pt idx="2">
                  <c:v>1.1904699999999999E-3</c:v>
                </c:pt>
                <c:pt idx="3">
                  <c:v>1.7241800000000001E-3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EEC4-4C05-97ED-80214940C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25"/>
        <c:showNegBubbles val="0"/>
        <c:axId val="148861696"/>
        <c:axId val="148863616"/>
      </c:bubbleChart>
      <c:valAx>
        <c:axId val="148861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000000605460645"/>
              <c:y val="0.871796829592110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8863616"/>
        <c:crosses val="autoZero"/>
        <c:crossBetween val="midCat"/>
      </c:valAx>
      <c:valAx>
        <c:axId val="14886361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88616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455" r="0.7500000000000045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44074844074904E-2"/>
          <c:y val="8.1018701666263529E-2"/>
          <c:w val="0.89189189189189633"/>
          <c:h val="0.71296457466312413"/>
        </c:manualLayout>
      </c:layout>
      <c:bubbleChart>
        <c:varyColors val="0"/>
        <c:ser>
          <c:idx val="0"/>
          <c:order val="0"/>
          <c:spPr>
            <a:solidFill>
              <a:srgbClr val="4F81BD"/>
            </a:solidFill>
            <a:ln w="12700">
              <a:solidFill>
                <a:srgbClr val="000000"/>
              </a:solidFill>
              <a:prstDash val="solid"/>
            </a:ln>
          </c:spPr>
          <c:invertIfNegative val="1"/>
          <c:xVal>
            <c:numRef>
              <c:f>Comp_Disp!Yr</c:f>
              <c:numCache>
                <c:formatCode>General</c:formatCode>
                <c:ptCount val="25"/>
                <c:pt idx="0">
                  <c:v>1968.25</c:v>
                </c:pt>
                <c:pt idx="1">
                  <c:v>1968.25</c:v>
                </c:pt>
                <c:pt idx="2">
                  <c:v>1968.25</c:v>
                </c:pt>
                <c:pt idx="3">
                  <c:v>1968.25</c:v>
                </c:pt>
              </c:numCache>
            </c:numRef>
          </c:xVal>
          <c:yVal>
            <c:numRef>
              <c:f>Comp_Disp!Bin</c:f>
              <c:numCache>
                <c:formatCode>General</c:formatCode>
                <c:ptCount val="25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</c:numCache>
            </c:numRef>
          </c:yVal>
          <c:bubbleSize>
            <c:numRef>
              <c:f>Comp_Disp!Pearson</c:f>
              <c:numCache>
                <c:formatCode>0.00E+00</c:formatCode>
                <c:ptCount val="25"/>
                <c:pt idx="0">
                  <c:v>-1.55345E-2</c:v>
                </c:pt>
                <c:pt idx="1">
                  <c:v>-1.2838799999999999E-2</c:v>
                </c:pt>
                <c:pt idx="2">
                  <c:v>-5.8755599999999998E-2</c:v>
                </c:pt>
                <c:pt idx="3">
                  <c:v>-6.1653100000000002E-2</c:v>
                </c:pt>
              </c:numCache>
            </c:numRef>
          </c:bubbleSize>
          <c:bubble3D val="0"/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12700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44CD-4D0C-980A-45A2CF3184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20"/>
        <c:showNegBubbles val="1"/>
        <c:axId val="148892288"/>
        <c:axId val="152060672"/>
      </c:bubbleChart>
      <c:valAx>
        <c:axId val="148892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9064447769480729"/>
              <c:y val="0.8958353981976024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060672"/>
        <c:crosses val="autoZero"/>
        <c:crossBetween val="midCat"/>
      </c:valAx>
      <c:valAx>
        <c:axId val="1520606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88922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455" r="0.75000000000000455" t="1" header="0.5" footer="0.5"/>
    <c:pageSetup orientation="landscape" horizontalDpi="200" verticalDpi="200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OBSERVE</a:t>
            </a:r>
          </a:p>
        </c:rich>
      </c:tx>
      <c:layout>
        <c:manualLayout>
          <c:xMode val="edge"/>
          <c:yMode val="edge"/>
          <c:x val="0.44556290089407552"/>
          <c:y val="3.03030303030303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980830149973468E-2"/>
          <c:y val="8.1585267303293268E-2"/>
          <c:w val="0.86093359595400953"/>
          <c:h val="0.6736612071614847"/>
        </c:manualLayout>
      </c:layout>
      <c:bubbleChart>
        <c:varyColors val="0"/>
        <c:ser>
          <c:idx val="0"/>
          <c:order val="0"/>
          <c:spPr>
            <a:noFill/>
            <a:ln w="12700">
              <a:solidFill>
                <a:srgbClr val="000000"/>
              </a:solidFill>
              <a:prstDash val="solid"/>
            </a:ln>
          </c:spPr>
          <c:invertIfNegative val="1"/>
          <c:xVal>
            <c:numRef>
              <c:f>Comp_Disp!Yr</c:f>
              <c:numCache>
                <c:formatCode>General</c:formatCode>
                <c:ptCount val="25"/>
                <c:pt idx="0">
                  <c:v>1968.25</c:v>
                </c:pt>
                <c:pt idx="1">
                  <c:v>1968.25</c:v>
                </c:pt>
                <c:pt idx="2">
                  <c:v>1968.25</c:v>
                </c:pt>
                <c:pt idx="3">
                  <c:v>1968.25</c:v>
                </c:pt>
              </c:numCache>
            </c:numRef>
          </c:xVal>
          <c:yVal>
            <c:numRef>
              <c:f>Comp_Disp!Bin</c:f>
              <c:numCache>
                <c:formatCode>General</c:formatCode>
                <c:ptCount val="25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</c:numCache>
            </c:numRef>
          </c:yVal>
          <c:bubbleSize>
            <c:numRef>
              <c:f>Comp_Disp!Obs</c:f>
              <c:numCache>
                <c:formatCode>0.00E+00</c:formatCode>
                <c:ptCount val="25"/>
                <c:pt idx="0">
                  <c:v>3.4708999999999999E-4</c:v>
                </c:pt>
                <c:pt idx="1">
                  <c:v>5.9449899999999996E-4</c:v>
                </c:pt>
                <c:pt idx="2">
                  <c:v>9.9680999999999996E-5</c:v>
                </c:pt>
                <c:pt idx="3">
                  <c:v>3.4708999999999999E-4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F2D8-444A-8E56-1DF44A06B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5"/>
        <c:showNegBubbles val="0"/>
        <c:axId val="152093824"/>
        <c:axId val="152095744"/>
      </c:bubbleChart>
      <c:valAx>
        <c:axId val="152093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7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940532700792109"/>
              <c:y val="0.878789836585125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095744"/>
        <c:crosses val="autoZero"/>
        <c:crossBetween val="midCat"/>
      </c:valAx>
      <c:valAx>
        <c:axId val="15209574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09382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455" r="0.75000000000000455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543870700372982"/>
          <c:y val="0.11427727565182759"/>
          <c:w val="0.83195833678684905"/>
          <c:h val="0.76923252028819422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0000"/>
              </a:solidFill>
              <a:prstDash val="sysDot"/>
            </a:ln>
          </c:spPr>
          <c:marker>
            <c:symbol val="circle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Comp_Disp!Bin</c:f>
              <c:numCache>
                <c:formatCode>General</c:formatCode>
                <c:ptCount val="25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</c:numCache>
            </c:numRef>
          </c:xVal>
          <c:yVal>
            <c:numRef>
              <c:f>Comp_Disp!Obs</c:f>
              <c:numCache>
                <c:formatCode>0.00E+00</c:formatCode>
                <c:ptCount val="25"/>
                <c:pt idx="0">
                  <c:v>3.4708999999999999E-4</c:v>
                </c:pt>
                <c:pt idx="1">
                  <c:v>5.9449899999999996E-4</c:v>
                </c:pt>
                <c:pt idx="2">
                  <c:v>9.9680999999999996E-5</c:v>
                </c:pt>
                <c:pt idx="3">
                  <c:v>3.4708999999999999E-4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9F-401D-B7A6-3E78CE011A15}"/>
            </c:ext>
          </c:extLst>
        </c:ser>
        <c:ser>
          <c:idx val="1"/>
          <c:order val="1"/>
          <c:spPr>
            <a:ln w="19050">
              <a:solidFill>
                <a:sysClr val="windowText" lastClr="000000"/>
              </a:solidFill>
            </a:ln>
          </c:spPr>
          <c:marker>
            <c:symbol val="x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Comp_Disp!Bin</c:f>
              <c:numCache>
                <c:formatCode>General</c:formatCode>
                <c:ptCount val="25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</c:numCache>
            </c:numRef>
          </c:xVal>
          <c:yVal>
            <c:numRef>
              <c:f>Comp_Disp!Exp</c:f>
              <c:numCache>
                <c:formatCode>0.00E+00</c:formatCode>
                <c:ptCount val="25"/>
                <c:pt idx="0">
                  <c:v>5.4169199999999998E-4</c:v>
                </c:pt>
                <c:pt idx="1">
                  <c:v>7.8852000000000002E-4</c:v>
                </c:pt>
                <c:pt idx="2">
                  <c:v>1.1904699999999999E-3</c:v>
                </c:pt>
                <c:pt idx="3">
                  <c:v>1.7241800000000001E-3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39F-401D-B7A6-3E78CE011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378368"/>
        <c:axId val="152380544"/>
      </c:scatterChart>
      <c:valAx>
        <c:axId val="152378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380544"/>
        <c:crosses val="autoZero"/>
        <c:crossBetween val="midCat"/>
      </c:valAx>
      <c:valAx>
        <c:axId val="152380544"/>
        <c:scaling>
          <c:orientation val="minMax"/>
          <c:min val="0"/>
        </c:scaling>
        <c:delete val="0"/>
        <c:axPos val="l"/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3783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477" r="0.75000000000000477" t="1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543870700372982"/>
          <c:y val="0.11427727565182759"/>
          <c:w val="0.83195833678684905"/>
          <c:h val="0.76923252028819444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0000"/>
              </a:solidFill>
              <a:prstDash val="sysDot"/>
            </a:ln>
          </c:spPr>
          <c:marker>
            <c:symbol val="circle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Comp_Disp!Bin</c:f>
              <c:numCache>
                <c:formatCode>General</c:formatCode>
                <c:ptCount val="25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</c:numCache>
            </c:numRef>
          </c:xVal>
          <c:yVal>
            <c:numRef>
              <c:f>Comp_Disp!Cum_obs</c:f>
              <c:numCache>
                <c:formatCode>0.00E+00</c:formatCode>
                <c:ptCount val="25"/>
                <c:pt idx="0">
                  <c:v>3.4708999999999999E-4</c:v>
                </c:pt>
                <c:pt idx="1">
                  <c:v>9.4158899999999995E-4</c:v>
                </c:pt>
                <c:pt idx="2">
                  <c:v>1.04127E-3</c:v>
                </c:pt>
                <c:pt idx="3">
                  <c:v>1.3883599999999999E-3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22-40F3-8BC9-DD0E504E54D6}"/>
            </c:ext>
          </c:extLst>
        </c:ser>
        <c:ser>
          <c:idx val="1"/>
          <c:order val="1"/>
          <c:spPr>
            <a:ln w="19050">
              <a:solidFill>
                <a:sysClr val="windowText" lastClr="000000"/>
              </a:solidFill>
            </a:ln>
          </c:spPr>
          <c:marker>
            <c:symbol val="x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Comp_Disp!Bin</c:f>
              <c:numCache>
                <c:formatCode>General</c:formatCode>
                <c:ptCount val="25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</c:numCache>
            </c:numRef>
          </c:xVal>
          <c:yVal>
            <c:numRef>
              <c:f>Comp_Disp!Cum_exp</c:f>
              <c:numCache>
                <c:formatCode>0.00E+00</c:formatCode>
                <c:ptCount val="25"/>
                <c:pt idx="0">
                  <c:v>5.4169199999999998E-4</c:v>
                </c:pt>
                <c:pt idx="1">
                  <c:v>1.3302100000000001E-3</c:v>
                </c:pt>
                <c:pt idx="2">
                  <c:v>2.52068E-3</c:v>
                </c:pt>
                <c:pt idx="3">
                  <c:v>4.2448599999999996E-3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622-40F3-8BC9-DD0E504E54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412928"/>
        <c:axId val="152414848"/>
      </c:scatterChart>
      <c:valAx>
        <c:axId val="152412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414848"/>
        <c:crosses val="autoZero"/>
        <c:crossBetween val="midCat"/>
      </c:valAx>
      <c:valAx>
        <c:axId val="152414848"/>
        <c:scaling>
          <c:orientation val="minMax"/>
          <c:min val="0"/>
        </c:scaling>
        <c:delete val="0"/>
        <c:axPos val="l"/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412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5" r="0.750000000000005" t="1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44074844074904E-2"/>
          <c:y val="8.1018701666263529E-2"/>
          <c:w val="0.89189189189189633"/>
          <c:h val="0.81615650251851446"/>
        </c:manualLayout>
      </c:layout>
      <c:bubbleChart>
        <c:varyColors val="0"/>
        <c:ser>
          <c:idx val="0"/>
          <c:order val="0"/>
          <c:spPr>
            <a:solidFill>
              <a:srgbClr val="4F81BD"/>
            </a:solidFill>
            <a:ln w="12700">
              <a:solidFill>
                <a:srgbClr val="000000"/>
              </a:solidFill>
              <a:prstDash val="solid"/>
            </a:ln>
          </c:spPr>
          <c:invertIfNegative val="1"/>
          <c:xVal>
            <c:numRef>
              <c:f>Comp_Disp!$K$5:$K$29</c:f>
              <c:numCache>
                <c:formatCode>General</c:formatCode>
                <c:ptCount val="2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xVal>
          <c:yVal>
            <c:numRef>
              <c:f>Comp_Disp!$M$5:$M$29</c:f>
              <c:numCache>
                <c:formatCode>General</c:formatCode>
                <c:ptCount val="25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</c:numCache>
            </c:numRef>
          </c:yVal>
          <c:bubbleSize>
            <c:numRef>
              <c:f>Comp_Disp!$P$5:$P$29</c:f>
              <c:numCache>
                <c:formatCode>0.00E+00</c:formatCode>
                <c:ptCount val="25"/>
                <c:pt idx="0">
                  <c:v>-1.55345E-2</c:v>
                </c:pt>
                <c:pt idx="1">
                  <c:v>-1.2838799999999999E-2</c:v>
                </c:pt>
                <c:pt idx="2">
                  <c:v>-5.8755599999999998E-2</c:v>
                </c:pt>
                <c:pt idx="3">
                  <c:v>-6.1653100000000002E-2</c:v>
                </c:pt>
              </c:numCache>
            </c:numRef>
          </c:bubbleSize>
          <c:bubble3D val="0"/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12700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81BB-40A5-BB1D-A71C865921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20"/>
        <c:showNegBubbles val="1"/>
        <c:axId val="148892288"/>
        <c:axId val="152060672"/>
      </c:bubbleChart>
      <c:valAx>
        <c:axId val="148892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Len_Bin</a:t>
                </a:r>
              </a:p>
            </c:rich>
          </c:tx>
          <c:layout>
            <c:manualLayout>
              <c:xMode val="edge"/>
              <c:yMode val="edge"/>
              <c:x val="0.49064449564451967"/>
              <c:y val="0.9518038622959624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060672"/>
        <c:crosses val="autoZero"/>
        <c:crossBetween val="midCat"/>
      </c:valAx>
      <c:valAx>
        <c:axId val="1520606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Age'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88922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455" r="0.75000000000000455" t="1" header="0.5" footer="0.5"/>
    <c:pageSetup orientation="landscape" horizontalDpi="200" verticalDpi="200"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98824368141288"/>
          <c:y val="4.745762711864477E-2"/>
          <c:w val="0.75887628778855465"/>
          <c:h val="0.82711864406779667"/>
        </c:manualLayout>
      </c:layout>
      <c:scatterChart>
        <c:scatterStyle val="lineMarker"/>
        <c:varyColors val="0"/>
        <c:ser>
          <c:idx val="4"/>
          <c:order val="0"/>
          <c:tx>
            <c:strRef>
              <c:f>BIO!$N$37</c:f>
              <c:strCache>
                <c:ptCount val="1"/>
                <c:pt idx="0">
                  <c:v>Len_Mid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BIO!Age_Mid</c:f>
              <c:numCache>
                <c:formatCode>General</c:formatCode>
                <c:ptCount val="3"/>
                <c:pt idx="0">
                  <c:v>-0.25</c:v>
                </c:pt>
                <c:pt idx="1">
                  <c:v>0.75</c:v>
                </c:pt>
                <c:pt idx="2">
                  <c:v>1.75</c:v>
                </c:pt>
              </c:numCache>
            </c:numRef>
          </c:xVal>
          <c:yVal>
            <c:numRef>
              <c:f>BIO!Len_Mid</c:f>
              <c:numCache>
                <c:formatCode>General</c:formatCode>
                <c:ptCount val="3"/>
                <c:pt idx="0">
                  <c:v>0.5</c:v>
                </c:pt>
                <c:pt idx="1">
                  <c:v>6.0156999999999998</c:v>
                </c:pt>
                <c:pt idx="2">
                  <c:v>13.5388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06-4366-8FB8-E8ECB67EFD52}"/>
            </c:ext>
          </c:extLst>
        </c:ser>
        <c:ser>
          <c:idx val="1"/>
          <c:order val="3"/>
          <c:tx>
            <c:strRef>
              <c:f>BIO!$M$37</c:f>
              <c:strCache>
                <c:ptCount val="1"/>
                <c:pt idx="0">
                  <c:v>Len_Beg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BIO!Age_Beg</c:f>
              <c:numCache>
                <c:formatCode>General</c:formatCode>
                <c:ptCount val="3"/>
                <c:pt idx="0">
                  <c:v>-0.5</c:v>
                </c:pt>
                <c:pt idx="1">
                  <c:v>0.5</c:v>
                </c:pt>
                <c:pt idx="2">
                  <c:v>1.5</c:v>
                </c:pt>
              </c:numCache>
            </c:numRef>
          </c:xVal>
          <c:yVal>
            <c:numRef>
              <c:f>BIO!Len_Beg</c:f>
              <c:numCache>
                <c:formatCode>General</c:formatCode>
                <c:ptCount val="3"/>
                <c:pt idx="0">
                  <c:v>0.5</c:v>
                </c:pt>
                <c:pt idx="1">
                  <c:v>4.17713</c:v>
                </c:pt>
                <c:pt idx="2">
                  <c:v>11.5314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06-4366-8FB8-E8ECB67EF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533632"/>
        <c:axId val="152536192"/>
      </c:scatterChart>
      <c:scatterChart>
        <c:scatterStyle val="lineMarker"/>
        <c:varyColors val="0"/>
        <c:ser>
          <c:idx val="0"/>
          <c:order val="1"/>
          <c:tx>
            <c:strRef>
              <c:f>BIO!$O$37</c:f>
              <c:strCache>
                <c:ptCount val="1"/>
                <c:pt idx="0">
                  <c:v>SD_Beg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BIO!Age_Beg</c:f>
              <c:numCache>
                <c:formatCode>General</c:formatCode>
                <c:ptCount val="3"/>
                <c:pt idx="0">
                  <c:v>-0.5</c:v>
                </c:pt>
                <c:pt idx="1">
                  <c:v>0.5</c:v>
                </c:pt>
                <c:pt idx="2">
                  <c:v>1.5</c:v>
                </c:pt>
              </c:numCache>
            </c:numRef>
          </c:xVal>
          <c:yVal>
            <c:numRef>
              <c:f>BIO!SD_Beg</c:f>
              <c:numCache>
                <c:formatCode>General</c:formatCode>
                <c:ptCount val="3"/>
                <c:pt idx="0">
                  <c:v>3.02</c:v>
                </c:pt>
                <c:pt idx="1">
                  <c:v>3.02</c:v>
                </c:pt>
                <c:pt idx="2">
                  <c:v>3.02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06-4366-8FB8-E8ECB67EFD52}"/>
            </c:ext>
          </c:extLst>
        </c:ser>
        <c:ser>
          <c:idx val="3"/>
          <c:order val="2"/>
          <c:tx>
            <c:strRef>
              <c:f>BIO!$P$37</c:f>
              <c:strCache>
                <c:ptCount val="1"/>
                <c:pt idx="0">
                  <c:v>SD_Mid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0070C0"/>
                </a:solidFill>
                <a:prstDash val="solid"/>
              </a:ln>
            </c:spPr>
          </c:marker>
          <c:xVal>
            <c:numRef>
              <c:f>BIO!Age_Mid</c:f>
              <c:numCache>
                <c:formatCode>General</c:formatCode>
                <c:ptCount val="3"/>
                <c:pt idx="0">
                  <c:v>-0.25</c:v>
                </c:pt>
                <c:pt idx="1">
                  <c:v>0.75</c:v>
                </c:pt>
                <c:pt idx="2">
                  <c:v>1.75</c:v>
                </c:pt>
              </c:numCache>
            </c:numRef>
          </c:xVal>
          <c:yVal>
            <c:numRef>
              <c:f>BIO!SD_Mid</c:f>
              <c:numCache>
                <c:formatCode>General</c:formatCode>
                <c:ptCount val="3"/>
                <c:pt idx="0">
                  <c:v>3.02</c:v>
                </c:pt>
                <c:pt idx="1">
                  <c:v>3.02</c:v>
                </c:pt>
                <c:pt idx="2">
                  <c:v>2.75345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606-4366-8FB8-E8ECB67EF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538112"/>
        <c:axId val="152548096"/>
      </c:scatterChart>
      <c:valAx>
        <c:axId val="152533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Calendar Age</a:t>
                </a:r>
              </a:p>
            </c:rich>
          </c:tx>
          <c:layout>
            <c:manualLayout>
              <c:xMode val="edge"/>
              <c:yMode val="edge"/>
              <c:x val="0.46301806209135132"/>
              <c:y val="0.9355932203389836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536192"/>
        <c:crosses val="autoZero"/>
        <c:crossBetween val="midCat"/>
      </c:valAx>
      <c:valAx>
        <c:axId val="15253619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LENGTH</a:t>
                </a:r>
              </a:p>
            </c:rich>
          </c:tx>
          <c:layout>
            <c:manualLayout>
              <c:xMode val="edge"/>
              <c:yMode val="edge"/>
              <c:x val="2.2189349112426336E-2"/>
              <c:y val="0.3779661016949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533632"/>
        <c:crosses val="autoZero"/>
        <c:crossBetween val="midCat"/>
      </c:valAx>
      <c:valAx>
        <c:axId val="1525381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52548096"/>
        <c:crosses val="autoZero"/>
        <c:crossBetween val="midCat"/>
      </c:valAx>
      <c:valAx>
        <c:axId val="15254809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Std &amp; CV%</a:t>
                </a:r>
              </a:p>
            </c:rich>
          </c:tx>
          <c:layout>
            <c:manualLayout>
              <c:xMode val="edge"/>
              <c:yMode val="edge"/>
              <c:x val="0.95710121294010586"/>
              <c:y val="0.3983050847457663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538112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1153892745655323"/>
          <c:y val="0.65762711864407852"/>
          <c:w val="0.11686406063147436"/>
          <c:h val="0.188135593220339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433" r="0.75000000000000433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Len_Sel_D!$E$3</c:f>
              <c:strCache>
                <c:ptCount val="1"/>
                <c:pt idx="0">
                  <c:v>1950_1_Lsel</c:v>
                </c:pt>
              </c:strCache>
            </c:strRef>
          </c:tx>
          <c:marker>
            <c:symbol val="none"/>
          </c:marker>
          <c:xVal>
            <c:numRef>
              <c:f>Len_Sel_D!$F$2:$BS$2</c:f>
              <c:numCache>
                <c:formatCode>General</c:formatCode>
                <c:ptCount val="66"/>
                <c:pt idx="0">
                  <c:v>1.0004999999999999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15</c:v>
                </c:pt>
                <c:pt idx="8">
                  <c:v>17</c:v>
                </c:pt>
                <c:pt idx="9">
                  <c:v>19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27</c:v>
                </c:pt>
                <c:pt idx="14">
                  <c:v>29</c:v>
                </c:pt>
                <c:pt idx="15">
                  <c:v>31</c:v>
                </c:pt>
                <c:pt idx="16">
                  <c:v>33</c:v>
                </c:pt>
                <c:pt idx="17">
                  <c:v>35</c:v>
                </c:pt>
                <c:pt idx="18">
                  <c:v>37</c:v>
                </c:pt>
                <c:pt idx="19">
                  <c:v>39</c:v>
                </c:pt>
                <c:pt idx="20">
                  <c:v>41</c:v>
                </c:pt>
                <c:pt idx="21">
                  <c:v>43</c:v>
                </c:pt>
                <c:pt idx="22">
                  <c:v>45</c:v>
                </c:pt>
                <c:pt idx="23">
                  <c:v>47</c:v>
                </c:pt>
                <c:pt idx="24">
                  <c:v>49</c:v>
                </c:pt>
                <c:pt idx="25">
                  <c:v>51</c:v>
                </c:pt>
                <c:pt idx="26">
                  <c:v>53</c:v>
                </c:pt>
                <c:pt idx="27">
                  <c:v>55</c:v>
                </c:pt>
                <c:pt idx="28">
                  <c:v>57</c:v>
                </c:pt>
                <c:pt idx="29">
                  <c:v>59</c:v>
                </c:pt>
                <c:pt idx="30">
                  <c:v>61</c:v>
                </c:pt>
                <c:pt idx="31">
                  <c:v>63</c:v>
                </c:pt>
                <c:pt idx="32">
                  <c:v>65</c:v>
                </c:pt>
                <c:pt idx="33">
                  <c:v>67</c:v>
                </c:pt>
                <c:pt idx="34">
                  <c:v>69</c:v>
                </c:pt>
                <c:pt idx="35">
                  <c:v>71</c:v>
                </c:pt>
                <c:pt idx="36">
                  <c:v>73</c:v>
                </c:pt>
                <c:pt idx="37">
                  <c:v>75</c:v>
                </c:pt>
                <c:pt idx="38">
                  <c:v>77</c:v>
                </c:pt>
                <c:pt idx="39">
                  <c:v>79</c:v>
                </c:pt>
                <c:pt idx="40">
                  <c:v>81</c:v>
                </c:pt>
                <c:pt idx="41">
                  <c:v>83</c:v>
                </c:pt>
                <c:pt idx="42">
                  <c:v>85</c:v>
                </c:pt>
                <c:pt idx="43">
                  <c:v>87</c:v>
                </c:pt>
                <c:pt idx="44">
                  <c:v>89</c:v>
                </c:pt>
                <c:pt idx="45">
                  <c:v>91</c:v>
                </c:pt>
                <c:pt idx="46">
                  <c:v>93</c:v>
                </c:pt>
                <c:pt idx="47">
                  <c:v>95</c:v>
                </c:pt>
                <c:pt idx="48">
                  <c:v>97</c:v>
                </c:pt>
                <c:pt idx="49">
                  <c:v>99</c:v>
                </c:pt>
                <c:pt idx="50">
                  <c:v>101</c:v>
                </c:pt>
                <c:pt idx="51">
                  <c:v>103</c:v>
                </c:pt>
                <c:pt idx="52">
                  <c:v>105</c:v>
                </c:pt>
                <c:pt idx="53">
                  <c:v>107</c:v>
                </c:pt>
                <c:pt idx="54">
                  <c:v>109</c:v>
                </c:pt>
                <c:pt idx="55">
                  <c:v>111</c:v>
                </c:pt>
                <c:pt idx="56">
                  <c:v>113</c:v>
                </c:pt>
                <c:pt idx="57">
                  <c:v>115</c:v>
                </c:pt>
                <c:pt idx="58">
                  <c:v>117</c:v>
                </c:pt>
                <c:pt idx="59">
                  <c:v>119</c:v>
                </c:pt>
                <c:pt idx="60">
                  <c:v>121</c:v>
                </c:pt>
                <c:pt idx="61">
                  <c:v>123</c:v>
                </c:pt>
                <c:pt idx="62">
                  <c:v>125</c:v>
                </c:pt>
                <c:pt idx="63">
                  <c:v>127</c:v>
                </c:pt>
                <c:pt idx="64">
                  <c:v>129</c:v>
                </c:pt>
                <c:pt idx="65">
                  <c:v>131</c:v>
                </c:pt>
              </c:numCache>
            </c:numRef>
          </c:xVal>
          <c:yVal>
            <c:numRef>
              <c:f>Len_Sel_D!$F$3:$BS$3</c:f>
              <c:numCache>
                <c:formatCode>0.00E+00</c:formatCode>
                <c:ptCount val="66"/>
                <c:pt idx="0">
                  <c:v>1.0002500000000001E-6</c:v>
                </c:pt>
                <c:pt idx="1">
                  <c:v>1.0012099999999999E-6</c:v>
                </c:pt>
                <c:pt idx="2">
                  <c:v>1.00601E-6</c:v>
                </c:pt>
                <c:pt idx="3">
                  <c:v>1.0297399999999999E-6</c:v>
                </c:pt>
                <c:pt idx="4">
                  <c:v>1.14726E-6</c:v>
                </c:pt>
                <c:pt idx="5">
                  <c:v>1.7291600000000001E-6</c:v>
                </c:pt>
                <c:pt idx="6">
                  <c:v>4.6105500000000003E-6</c:v>
                </c:pt>
                <c:pt idx="7">
                  <c:v>1.8878000000000001E-5</c:v>
                </c:pt>
                <c:pt idx="8">
                  <c:v>8.9519399999999995E-5</c:v>
                </c:pt>
                <c:pt idx="9" formatCode="General">
                  <c:v>4.3916499999999999E-4</c:v>
                </c:pt>
                <c:pt idx="10" formatCode="General">
                  <c:v>2.1668999999999998E-3</c:v>
                </c:pt>
                <c:pt idx="11" formatCode="General">
                  <c:v>1.06348E-2</c:v>
                </c:pt>
                <c:pt idx="12" formatCode="General">
                  <c:v>5.0532500000000001E-2</c:v>
                </c:pt>
                <c:pt idx="13" formatCode="General">
                  <c:v>0.208569</c:v>
                </c:pt>
                <c:pt idx="14" formatCode="General">
                  <c:v>0.56614699999999996</c:v>
                </c:pt>
                <c:pt idx="15" formatCode="General">
                  <c:v>0.86597999999999997</c:v>
                </c:pt>
                <c:pt idx="16" formatCode="General">
                  <c:v>0.96969399999999994</c:v>
                </c:pt>
                <c:pt idx="17" formatCode="General">
                  <c:v>0.99372899999999997</c:v>
                </c:pt>
                <c:pt idx="18" formatCode="General">
                  <c:v>0.99872799999999995</c:v>
                </c:pt>
                <c:pt idx="19" formatCode="General">
                  <c:v>0.99974399999999997</c:v>
                </c:pt>
                <c:pt idx="20" formatCode="General">
                  <c:v>0.99994899999999998</c:v>
                </c:pt>
                <c:pt idx="21" formatCode="General">
                  <c:v>0.99999099999999996</c:v>
                </c:pt>
                <c:pt idx="22" formatCode="General">
                  <c:v>0.99999899999999997</c:v>
                </c:pt>
                <c:pt idx="23" formatCode="General">
                  <c:v>1</c:v>
                </c:pt>
                <c:pt idx="24" formatCode="General">
                  <c:v>0.99999899999999997</c:v>
                </c:pt>
                <c:pt idx="25" formatCode="General">
                  <c:v>0.99999700000000002</c:v>
                </c:pt>
                <c:pt idx="26" formatCode="General">
                  <c:v>0.99999199999999999</c:v>
                </c:pt>
                <c:pt idx="27" formatCode="General">
                  <c:v>0.99997999999999998</c:v>
                </c:pt>
                <c:pt idx="28" formatCode="General">
                  <c:v>0.99995100000000003</c:v>
                </c:pt>
                <c:pt idx="29" formatCode="General">
                  <c:v>0.99988600000000005</c:v>
                </c:pt>
                <c:pt idx="30" formatCode="General">
                  <c:v>0.99973299999999998</c:v>
                </c:pt>
                <c:pt idx="31" formatCode="General">
                  <c:v>0.99938199999999999</c:v>
                </c:pt>
                <c:pt idx="32" formatCode="General">
                  <c:v>0.99856800000000001</c:v>
                </c:pt>
                <c:pt idx="33" formatCode="General">
                  <c:v>0.99668900000000005</c:v>
                </c:pt>
                <c:pt idx="34" formatCode="General">
                  <c:v>0.99236599999999997</c:v>
                </c:pt>
                <c:pt idx="35" formatCode="General">
                  <c:v>0.98250000000000004</c:v>
                </c:pt>
                <c:pt idx="36" formatCode="General">
                  <c:v>0.960395</c:v>
                </c:pt>
                <c:pt idx="37" formatCode="General">
                  <c:v>0.91284699999999996</c:v>
                </c:pt>
                <c:pt idx="38" formatCode="General">
                  <c:v>0.81897500000000001</c:v>
                </c:pt>
                <c:pt idx="39" formatCode="General">
                  <c:v>0.66149199999999997</c:v>
                </c:pt>
                <c:pt idx="40" formatCode="General">
                  <c:v>0.45772099999999999</c:v>
                </c:pt>
                <c:pt idx="41" formatCode="General">
                  <c:v>0.26717800000000003</c:v>
                </c:pt>
                <c:pt idx="42" formatCode="General">
                  <c:v>0.13605400000000001</c:v>
                </c:pt>
                <c:pt idx="43" formatCode="General">
                  <c:v>6.3690099999999999E-2</c:v>
                </c:pt>
                <c:pt idx="44" formatCode="General">
                  <c:v>2.8543499999999999E-2</c:v>
                </c:pt>
                <c:pt idx="45" formatCode="General">
                  <c:v>1.25328E-2</c:v>
                </c:pt>
                <c:pt idx="46" formatCode="General">
                  <c:v>5.4527999999999998E-3</c:v>
                </c:pt>
                <c:pt idx="47" formatCode="General">
                  <c:v>2.36316E-3</c:v>
                </c:pt>
                <c:pt idx="48" formatCode="General">
                  <c:v>1.02268E-3</c:v>
                </c:pt>
                <c:pt idx="49" formatCode="General">
                  <c:v>4.4256100000000001E-4</c:v>
                </c:pt>
                <c:pt idx="50" formatCode="General">
                  <c:v>1.91776E-4</c:v>
                </c:pt>
                <c:pt idx="51">
                  <c:v>8.3412500000000001E-5</c:v>
                </c:pt>
                <c:pt idx="52">
                  <c:v>3.65989E-5</c:v>
                </c:pt>
                <c:pt idx="53">
                  <c:v>1.6376899999999999E-5</c:v>
                </c:pt>
                <c:pt idx="54">
                  <c:v>7.6419399999999999E-6</c:v>
                </c:pt>
                <c:pt idx="55">
                  <c:v>3.8689299999999999E-6</c:v>
                </c:pt>
                <c:pt idx="56">
                  <c:v>2.2392099999999999E-6</c:v>
                </c:pt>
                <c:pt idx="57">
                  <c:v>1.5352600000000001E-6</c:v>
                </c:pt>
                <c:pt idx="58">
                  <c:v>1.2312E-6</c:v>
                </c:pt>
                <c:pt idx="59">
                  <c:v>1.0998700000000001E-6</c:v>
                </c:pt>
                <c:pt idx="60">
                  <c:v>1.0431400000000001E-6</c:v>
                </c:pt>
                <c:pt idx="61">
                  <c:v>1.0186300000000001E-6</c:v>
                </c:pt>
                <c:pt idx="62">
                  <c:v>1.00805E-6</c:v>
                </c:pt>
                <c:pt idx="63">
                  <c:v>1.0034800000000001E-6</c:v>
                </c:pt>
                <c:pt idx="64">
                  <c:v>1.0015000000000001E-6</c:v>
                </c:pt>
                <c:pt idx="65">
                  <c:v>1.0006499999999999E-6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EC-46E4-AB04-7B1C3F94C856}"/>
            </c:ext>
          </c:extLst>
        </c:ser>
        <c:ser>
          <c:idx val="1"/>
          <c:order val="1"/>
          <c:tx>
            <c:strRef>
              <c:f>Len_Sel_D!$E$4</c:f>
              <c:strCache>
                <c:ptCount val="1"/>
                <c:pt idx="0">
                  <c:v>1950_2_Lsel</c:v>
                </c:pt>
              </c:strCache>
            </c:strRef>
          </c:tx>
          <c:marker>
            <c:symbol val="none"/>
          </c:marker>
          <c:xVal>
            <c:numRef>
              <c:f>Len_Sel_D!$F$2:$BS$2</c:f>
              <c:numCache>
                <c:formatCode>General</c:formatCode>
                <c:ptCount val="66"/>
                <c:pt idx="0">
                  <c:v>1.0004999999999999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15</c:v>
                </c:pt>
                <c:pt idx="8">
                  <c:v>17</c:v>
                </c:pt>
                <c:pt idx="9">
                  <c:v>19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27</c:v>
                </c:pt>
                <c:pt idx="14">
                  <c:v>29</c:v>
                </c:pt>
                <c:pt idx="15">
                  <c:v>31</c:v>
                </c:pt>
                <c:pt idx="16">
                  <c:v>33</c:v>
                </c:pt>
                <c:pt idx="17">
                  <c:v>35</c:v>
                </c:pt>
                <c:pt idx="18">
                  <c:v>37</c:v>
                </c:pt>
                <c:pt idx="19">
                  <c:v>39</c:v>
                </c:pt>
                <c:pt idx="20">
                  <c:v>41</c:v>
                </c:pt>
                <c:pt idx="21">
                  <c:v>43</c:v>
                </c:pt>
                <c:pt idx="22">
                  <c:v>45</c:v>
                </c:pt>
                <c:pt idx="23">
                  <c:v>47</c:v>
                </c:pt>
                <c:pt idx="24">
                  <c:v>49</c:v>
                </c:pt>
                <c:pt idx="25">
                  <c:v>51</c:v>
                </c:pt>
                <c:pt idx="26">
                  <c:v>53</c:v>
                </c:pt>
                <c:pt idx="27">
                  <c:v>55</c:v>
                </c:pt>
                <c:pt idx="28">
                  <c:v>57</c:v>
                </c:pt>
                <c:pt idx="29">
                  <c:v>59</c:v>
                </c:pt>
                <c:pt idx="30">
                  <c:v>61</c:v>
                </c:pt>
                <c:pt idx="31">
                  <c:v>63</c:v>
                </c:pt>
                <c:pt idx="32">
                  <c:v>65</c:v>
                </c:pt>
                <c:pt idx="33">
                  <c:v>67</c:v>
                </c:pt>
                <c:pt idx="34">
                  <c:v>69</c:v>
                </c:pt>
                <c:pt idx="35">
                  <c:v>71</c:v>
                </c:pt>
                <c:pt idx="36">
                  <c:v>73</c:v>
                </c:pt>
                <c:pt idx="37">
                  <c:v>75</c:v>
                </c:pt>
                <c:pt idx="38">
                  <c:v>77</c:v>
                </c:pt>
                <c:pt idx="39">
                  <c:v>79</c:v>
                </c:pt>
                <c:pt idx="40">
                  <c:v>81</c:v>
                </c:pt>
                <c:pt idx="41">
                  <c:v>83</c:v>
                </c:pt>
                <c:pt idx="42">
                  <c:v>85</c:v>
                </c:pt>
                <c:pt idx="43">
                  <c:v>87</c:v>
                </c:pt>
                <c:pt idx="44">
                  <c:v>89</c:v>
                </c:pt>
                <c:pt idx="45">
                  <c:v>91</c:v>
                </c:pt>
                <c:pt idx="46">
                  <c:v>93</c:v>
                </c:pt>
                <c:pt idx="47">
                  <c:v>95</c:v>
                </c:pt>
                <c:pt idx="48">
                  <c:v>97</c:v>
                </c:pt>
                <c:pt idx="49">
                  <c:v>99</c:v>
                </c:pt>
                <c:pt idx="50">
                  <c:v>101</c:v>
                </c:pt>
                <c:pt idx="51">
                  <c:v>103</c:v>
                </c:pt>
                <c:pt idx="52">
                  <c:v>105</c:v>
                </c:pt>
                <c:pt idx="53">
                  <c:v>107</c:v>
                </c:pt>
                <c:pt idx="54">
                  <c:v>109</c:v>
                </c:pt>
                <c:pt idx="55">
                  <c:v>111</c:v>
                </c:pt>
                <c:pt idx="56">
                  <c:v>113</c:v>
                </c:pt>
                <c:pt idx="57">
                  <c:v>115</c:v>
                </c:pt>
                <c:pt idx="58">
                  <c:v>117</c:v>
                </c:pt>
                <c:pt idx="59">
                  <c:v>119</c:v>
                </c:pt>
                <c:pt idx="60">
                  <c:v>121</c:v>
                </c:pt>
                <c:pt idx="61">
                  <c:v>123</c:v>
                </c:pt>
                <c:pt idx="62">
                  <c:v>125</c:v>
                </c:pt>
                <c:pt idx="63">
                  <c:v>127</c:v>
                </c:pt>
                <c:pt idx="64">
                  <c:v>129</c:v>
                </c:pt>
                <c:pt idx="65">
                  <c:v>131</c:v>
                </c:pt>
              </c:numCache>
            </c:numRef>
          </c:xVal>
          <c:yVal>
            <c:numRef>
              <c:f>Len_Sel_D!$F$4:$BS$4</c:f>
              <c:numCache>
                <c:formatCode>0.00E+00</c:formatCode>
                <c:ptCount val="66"/>
                <c:pt idx="0">
                  <c:v>1.0000200000000001E-6</c:v>
                </c:pt>
                <c:pt idx="1">
                  <c:v>1.00083E-6</c:v>
                </c:pt>
                <c:pt idx="2">
                  <c:v>1.0429499999999999E-6</c:v>
                </c:pt>
                <c:pt idx="3">
                  <c:v>3.2279E-6</c:v>
                </c:pt>
                <c:pt idx="4" formatCode="General">
                  <c:v>1.16552E-4</c:v>
                </c:pt>
                <c:pt idx="5" formatCode="General">
                  <c:v>5.9598899999999998E-3</c:v>
                </c:pt>
                <c:pt idx="6" formatCode="General">
                  <c:v>0.23719699999999999</c:v>
                </c:pt>
                <c:pt idx="7" formatCode="General">
                  <c:v>0.94162199999999996</c:v>
                </c:pt>
                <c:pt idx="8" formatCode="General">
                  <c:v>0.99880599999999997</c:v>
                </c:pt>
                <c:pt idx="9" formatCode="General">
                  <c:v>0.999977</c:v>
                </c:pt>
                <c:pt idx="10" formatCode="General">
                  <c:v>1</c:v>
                </c:pt>
                <c:pt idx="11" formatCode="General">
                  <c:v>1</c:v>
                </c:pt>
                <c:pt idx="12" formatCode="General">
                  <c:v>1</c:v>
                </c:pt>
                <c:pt idx="13" formatCode="General">
                  <c:v>1</c:v>
                </c:pt>
                <c:pt idx="14" formatCode="General">
                  <c:v>0.99999899999999997</c:v>
                </c:pt>
                <c:pt idx="15" formatCode="General">
                  <c:v>0.99999899999999997</c:v>
                </c:pt>
                <c:pt idx="16" formatCode="General">
                  <c:v>0.99999800000000005</c:v>
                </c:pt>
                <c:pt idx="17" formatCode="General">
                  <c:v>0.999996</c:v>
                </c:pt>
                <c:pt idx="18" formatCode="General">
                  <c:v>0.99999300000000002</c:v>
                </c:pt>
                <c:pt idx="19" formatCode="General">
                  <c:v>0.99998900000000002</c:v>
                </c:pt>
                <c:pt idx="20" formatCode="General">
                  <c:v>0.99998100000000001</c:v>
                </c:pt>
                <c:pt idx="21" formatCode="General">
                  <c:v>0.99996799999999997</c:v>
                </c:pt>
                <c:pt idx="22" formatCode="General">
                  <c:v>0.99994700000000003</c:v>
                </c:pt>
                <c:pt idx="23" formatCode="General">
                  <c:v>0.99991200000000002</c:v>
                </c:pt>
                <c:pt idx="24" formatCode="General">
                  <c:v>0.99985400000000002</c:v>
                </c:pt>
                <c:pt idx="25" formatCode="General">
                  <c:v>0.99975700000000001</c:v>
                </c:pt>
                <c:pt idx="26" formatCode="General">
                  <c:v>0.99959600000000004</c:v>
                </c:pt>
                <c:pt idx="27" formatCode="General">
                  <c:v>0.99933000000000005</c:v>
                </c:pt>
                <c:pt idx="28" formatCode="General">
                  <c:v>0.998888</c:v>
                </c:pt>
                <c:pt idx="29" formatCode="General">
                  <c:v>0.99815600000000004</c:v>
                </c:pt>
                <c:pt idx="30" formatCode="General">
                  <c:v>0.99694199999999999</c:v>
                </c:pt>
                <c:pt idx="31" formatCode="General">
                  <c:v>0.99493399999999999</c:v>
                </c:pt>
                <c:pt idx="32" formatCode="General">
                  <c:v>0.99161900000000003</c:v>
                </c:pt>
                <c:pt idx="33" formatCode="General">
                  <c:v>0.98616499999999996</c:v>
                </c:pt>
                <c:pt idx="34" formatCode="General">
                  <c:v>0.97724299999999997</c:v>
                </c:pt>
                <c:pt idx="35" formatCode="General">
                  <c:v>0.962785</c:v>
                </c:pt>
                <c:pt idx="36" formatCode="General">
                  <c:v>0.93970699999999996</c:v>
                </c:pt>
                <c:pt idx="37" formatCode="General">
                  <c:v>0.90375000000000005</c:v>
                </c:pt>
                <c:pt idx="38" formatCode="General">
                  <c:v>0.849777</c:v>
                </c:pt>
                <c:pt idx="39" formatCode="General">
                  <c:v>0.77313600000000005</c:v>
                </c:pt>
                <c:pt idx="40" formatCode="General">
                  <c:v>0.67246600000000001</c:v>
                </c:pt>
                <c:pt idx="41" formatCode="General">
                  <c:v>0.55295300000000003</c:v>
                </c:pt>
                <c:pt idx="42" formatCode="General">
                  <c:v>0.42699100000000001</c:v>
                </c:pt>
                <c:pt idx="43" formatCode="General">
                  <c:v>0.309836</c:v>
                </c:pt>
                <c:pt idx="44" formatCode="General">
                  <c:v>0.21288299999999999</c:v>
                </c:pt>
                <c:pt idx="45" formatCode="General">
                  <c:v>0.14011000000000001</c:v>
                </c:pt>
                <c:pt idx="46" formatCode="General">
                  <c:v>8.9388499999999996E-2</c:v>
                </c:pt>
                <c:pt idx="47" formatCode="General">
                  <c:v>5.5836799999999999E-2</c:v>
                </c:pt>
                <c:pt idx="48" formatCode="General">
                  <c:v>3.4403000000000003E-2</c:v>
                </c:pt>
                <c:pt idx="49" formatCode="General">
                  <c:v>2.1013899999999999E-2</c:v>
                </c:pt>
                <c:pt idx="50" formatCode="General">
                  <c:v>1.2766899999999999E-2</c:v>
                </c:pt>
                <c:pt idx="51" formatCode="General">
                  <c:v>7.7310499999999997E-3</c:v>
                </c:pt>
                <c:pt idx="52" formatCode="General">
                  <c:v>4.6723299999999997E-3</c:v>
                </c:pt>
                <c:pt idx="53" formatCode="General">
                  <c:v>2.8204900000000001E-3</c:v>
                </c:pt>
                <c:pt idx="54" formatCode="General">
                  <c:v>1.70151E-3</c:v>
                </c:pt>
                <c:pt idx="55" formatCode="General">
                  <c:v>1.0261700000000001E-3</c:v>
                </c:pt>
                <c:pt idx="56" formatCode="General">
                  <c:v>6.18864E-4</c:v>
                </c:pt>
                <c:pt idx="57" formatCode="General">
                  <c:v>3.7332499999999998E-4</c:v>
                </c:pt>
                <c:pt idx="58" formatCode="General">
                  <c:v>2.25341E-4</c:v>
                </c:pt>
                <c:pt idx="59" formatCode="General">
                  <c:v>1.3616600000000001E-4</c:v>
                </c:pt>
                <c:pt idx="60">
                  <c:v>8.24355E-5</c:v>
                </c:pt>
                <c:pt idx="61">
                  <c:v>5.0062499999999997E-5</c:v>
                </c:pt>
                <c:pt idx="62">
                  <c:v>3.0558300000000002E-5</c:v>
                </c:pt>
                <c:pt idx="63">
                  <c:v>1.88077E-5</c:v>
                </c:pt>
                <c:pt idx="64">
                  <c:v>1.1728299999999999E-5</c:v>
                </c:pt>
                <c:pt idx="65">
                  <c:v>7.4633199999999999E-6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EC-46E4-AB04-7B1C3F94C856}"/>
            </c:ext>
          </c:extLst>
        </c:ser>
        <c:ser>
          <c:idx val="2"/>
          <c:order val="2"/>
          <c:tx>
            <c:strRef>
              <c:f>Len_Sel_D!$E$5</c:f>
              <c:strCache>
                <c:ptCount val="1"/>
                <c:pt idx="0">
                  <c:v>1989_2_Lsel</c:v>
                </c:pt>
              </c:strCache>
            </c:strRef>
          </c:tx>
          <c:marker>
            <c:symbol val="none"/>
          </c:marker>
          <c:xVal>
            <c:numRef>
              <c:f>Len_Sel_D!$F$2:$BS$2</c:f>
              <c:numCache>
                <c:formatCode>General</c:formatCode>
                <c:ptCount val="66"/>
                <c:pt idx="0">
                  <c:v>1.0004999999999999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15</c:v>
                </c:pt>
                <c:pt idx="8">
                  <c:v>17</c:v>
                </c:pt>
                <c:pt idx="9">
                  <c:v>19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27</c:v>
                </c:pt>
                <c:pt idx="14">
                  <c:v>29</c:v>
                </c:pt>
                <c:pt idx="15">
                  <c:v>31</c:v>
                </c:pt>
                <c:pt idx="16">
                  <c:v>33</c:v>
                </c:pt>
                <c:pt idx="17">
                  <c:v>35</c:v>
                </c:pt>
                <c:pt idx="18">
                  <c:v>37</c:v>
                </c:pt>
                <c:pt idx="19">
                  <c:v>39</c:v>
                </c:pt>
                <c:pt idx="20">
                  <c:v>41</c:v>
                </c:pt>
                <c:pt idx="21">
                  <c:v>43</c:v>
                </c:pt>
                <c:pt idx="22">
                  <c:v>45</c:v>
                </c:pt>
                <c:pt idx="23">
                  <c:v>47</c:v>
                </c:pt>
                <c:pt idx="24">
                  <c:v>49</c:v>
                </c:pt>
                <c:pt idx="25">
                  <c:v>51</c:v>
                </c:pt>
                <c:pt idx="26">
                  <c:v>53</c:v>
                </c:pt>
                <c:pt idx="27">
                  <c:v>55</c:v>
                </c:pt>
                <c:pt idx="28">
                  <c:v>57</c:v>
                </c:pt>
                <c:pt idx="29">
                  <c:v>59</c:v>
                </c:pt>
                <c:pt idx="30">
                  <c:v>61</c:v>
                </c:pt>
                <c:pt idx="31">
                  <c:v>63</c:v>
                </c:pt>
                <c:pt idx="32">
                  <c:v>65</c:v>
                </c:pt>
                <c:pt idx="33">
                  <c:v>67</c:v>
                </c:pt>
                <c:pt idx="34">
                  <c:v>69</c:v>
                </c:pt>
                <c:pt idx="35">
                  <c:v>71</c:v>
                </c:pt>
                <c:pt idx="36">
                  <c:v>73</c:v>
                </c:pt>
                <c:pt idx="37">
                  <c:v>75</c:v>
                </c:pt>
                <c:pt idx="38">
                  <c:v>77</c:v>
                </c:pt>
                <c:pt idx="39">
                  <c:v>79</c:v>
                </c:pt>
                <c:pt idx="40">
                  <c:v>81</c:v>
                </c:pt>
                <c:pt idx="41">
                  <c:v>83</c:v>
                </c:pt>
                <c:pt idx="42">
                  <c:v>85</c:v>
                </c:pt>
                <c:pt idx="43">
                  <c:v>87</c:v>
                </c:pt>
                <c:pt idx="44">
                  <c:v>89</c:v>
                </c:pt>
                <c:pt idx="45">
                  <c:v>91</c:v>
                </c:pt>
                <c:pt idx="46">
                  <c:v>93</c:v>
                </c:pt>
                <c:pt idx="47">
                  <c:v>95</c:v>
                </c:pt>
                <c:pt idx="48">
                  <c:v>97</c:v>
                </c:pt>
                <c:pt idx="49">
                  <c:v>99</c:v>
                </c:pt>
                <c:pt idx="50">
                  <c:v>101</c:v>
                </c:pt>
                <c:pt idx="51">
                  <c:v>103</c:v>
                </c:pt>
                <c:pt idx="52">
                  <c:v>105</c:v>
                </c:pt>
                <c:pt idx="53">
                  <c:v>107</c:v>
                </c:pt>
                <c:pt idx="54">
                  <c:v>109</c:v>
                </c:pt>
                <c:pt idx="55">
                  <c:v>111</c:v>
                </c:pt>
                <c:pt idx="56">
                  <c:v>113</c:v>
                </c:pt>
                <c:pt idx="57">
                  <c:v>115</c:v>
                </c:pt>
                <c:pt idx="58">
                  <c:v>117</c:v>
                </c:pt>
                <c:pt idx="59">
                  <c:v>119</c:v>
                </c:pt>
                <c:pt idx="60">
                  <c:v>121</c:v>
                </c:pt>
                <c:pt idx="61">
                  <c:v>123</c:v>
                </c:pt>
                <c:pt idx="62">
                  <c:v>125</c:v>
                </c:pt>
                <c:pt idx="63">
                  <c:v>127</c:v>
                </c:pt>
                <c:pt idx="64">
                  <c:v>129</c:v>
                </c:pt>
                <c:pt idx="65">
                  <c:v>131</c:v>
                </c:pt>
              </c:numCache>
            </c:numRef>
          </c:xVal>
          <c:yVal>
            <c:numRef>
              <c:f>Len_Sel_D!$F$5:$BS$5</c:f>
              <c:numCache>
                <c:formatCode>0.00E+00</c:formatCode>
                <c:ptCount val="66"/>
                <c:pt idx="0">
                  <c:v>1.0075399999999999E-6</c:v>
                </c:pt>
                <c:pt idx="1">
                  <c:v>1.0075399999999999E-6</c:v>
                </c:pt>
                <c:pt idx="2">
                  <c:v>1.0075399999999999E-6</c:v>
                </c:pt>
                <c:pt idx="3">
                  <c:v>1.0075399999999999E-6</c:v>
                </c:pt>
                <c:pt idx="4">
                  <c:v>1.0075600000000001E-6</c:v>
                </c:pt>
                <c:pt idx="5">
                  <c:v>1.0076300000000001E-6</c:v>
                </c:pt>
                <c:pt idx="6">
                  <c:v>1.00788E-6</c:v>
                </c:pt>
                <c:pt idx="7">
                  <c:v>1.0087899999999999E-6</c:v>
                </c:pt>
                <c:pt idx="8">
                  <c:v>1.01206E-6</c:v>
                </c:pt>
                <c:pt idx="9">
                  <c:v>1.0239000000000001E-6</c:v>
                </c:pt>
                <c:pt idx="10">
                  <c:v>1.0666699999999999E-6</c:v>
                </c:pt>
                <c:pt idx="11">
                  <c:v>1.2212700000000001E-6</c:v>
                </c:pt>
                <c:pt idx="12">
                  <c:v>1.7800399999999999E-6</c:v>
                </c:pt>
                <c:pt idx="13">
                  <c:v>3.7995600000000002E-6</c:v>
                </c:pt>
                <c:pt idx="14">
                  <c:v>1.1098600000000001E-5</c:v>
                </c:pt>
                <c:pt idx="15">
                  <c:v>3.7478300000000003E-5</c:v>
                </c:pt>
                <c:pt idx="16" formatCode="General">
                  <c:v>1.3281E-4</c:v>
                </c:pt>
                <c:pt idx="17" formatCode="General">
                  <c:v>4.7721500000000002E-4</c:v>
                </c:pt>
                <c:pt idx="18" formatCode="General">
                  <c:v>1.7200200000000001E-3</c:v>
                </c:pt>
                <c:pt idx="19" formatCode="General">
                  <c:v>6.1863899999999999E-3</c:v>
                </c:pt>
                <c:pt idx="20" formatCode="General">
                  <c:v>2.2003499999999999E-2</c:v>
                </c:pt>
                <c:pt idx="21" formatCode="General">
                  <c:v>7.5228600000000007E-2</c:v>
                </c:pt>
                <c:pt idx="22" formatCode="General">
                  <c:v>0.22748599999999999</c:v>
                </c:pt>
                <c:pt idx="23" formatCode="General">
                  <c:v>0.51699499999999998</c:v>
                </c:pt>
                <c:pt idx="24" formatCode="General">
                  <c:v>0.79793400000000003</c:v>
                </c:pt>
                <c:pt idx="25" formatCode="General">
                  <c:v>0.93896299999999999</c:v>
                </c:pt>
                <c:pt idx="26" formatCode="General">
                  <c:v>0.98675400000000002</c:v>
                </c:pt>
                <c:pt idx="27" formatCode="General">
                  <c:v>0.99958400000000003</c:v>
                </c:pt>
                <c:pt idx="28" formatCode="General">
                  <c:v>1</c:v>
                </c:pt>
                <c:pt idx="29" formatCode="General">
                  <c:v>0.99217699999999998</c:v>
                </c:pt>
                <c:pt idx="30" formatCode="General">
                  <c:v>0.97071499999999999</c:v>
                </c:pt>
                <c:pt idx="31" formatCode="General">
                  <c:v>0.92009700000000005</c:v>
                </c:pt>
                <c:pt idx="32" formatCode="General">
                  <c:v>0.813392</c:v>
                </c:pt>
                <c:pt idx="33" formatCode="General">
                  <c:v>0.62984799999999996</c:v>
                </c:pt>
                <c:pt idx="34" formatCode="General">
                  <c:v>0.40196100000000001</c:v>
                </c:pt>
                <c:pt idx="35" formatCode="General">
                  <c:v>0.210559</c:v>
                </c:pt>
                <c:pt idx="36" formatCode="General">
                  <c:v>9.5868800000000004E-2</c:v>
                </c:pt>
                <c:pt idx="37" formatCode="General">
                  <c:v>4.0477199999999998E-2</c:v>
                </c:pt>
                <c:pt idx="38" formatCode="General">
                  <c:v>1.6510799999999999E-2</c:v>
                </c:pt>
                <c:pt idx="39" formatCode="General">
                  <c:v>6.6378000000000001E-3</c:v>
                </c:pt>
                <c:pt idx="40" formatCode="General">
                  <c:v>2.65314E-3</c:v>
                </c:pt>
                <c:pt idx="41" formatCode="General">
                  <c:v>1.0583000000000001E-3</c:v>
                </c:pt>
                <c:pt idx="42" formatCode="General">
                  <c:v>4.2210199999999999E-4</c:v>
                </c:pt>
                <c:pt idx="43" formatCode="General">
                  <c:v>1.6865599999999999E-4</c:v>
                </c:pt>
                <c:pt idx="44">
                  <c:v>6.7742499999999997E-5</c:v>
                </c:pt>
                <c:pt idx="45">
                  <c:v>2.75708E-5</c:v>
                </c:pt>
                <c:pt idx="46">
                  <c:v>1.1580600000000001E-5</c:v>
                </c:pt>
                <c:pt idx="47">
                  <c:v>5.2158899999999996E-6</c:v>
                </c:pt>
                <c:pt idx="48">
                  <c:v>2.68257E-6</c:v>
                </c:pt>
                <c:pt idx="49">
                  <c:v>1.67424E-6</c:v>
                </c:pt>
                <c:pt idx="50">
                  <c:v>1.2728999999999999E-6</c:v>
                </c:pt>
                <c:pt idx="51">
                  <c:v>1.1131599999999999E-6</c:v>
                </c:pt>
                <c:pt idx="52">
                  <c:v>1.04958E-6</c:v>
                </c:pt>
                <c:pt idx="53">
                  <c:v>1.0242700000000001E-6</c:v>
                </c:pt>
                <c:pt idx="54">
                  <c:v>1.0142E-6</c:v>
                </c:pt>
                <c:pt idx="55">
                  <c:v>1.01019E-6</c:v>
                </c:pt>
                <c:pt idx="56">
                  <c:v>1.0085899999999999E-6</c:v>
                </c:pt>
                <c:pt idx="57">
                  <c:v>1.0079600000000001E-6</c:v>
                </c:pt>
                <c:pt idx="58">
                  <c:v>1.0076999999999999E-6</c:v>
                </c:pt>
                <c:pt idx="59">
                  <c:v>1.0076000000000001E-6</c:v>
                </c:pt>
                <c:pt idx="60">
                  <c:v>1.0075600000000001E-6</c:v>
                </c:pt>
                <c:pt idx="61">
                  <c:v>1.00755E-6</c:v>
                </c:pt>
                <c:pt idx="62">
                  <c:v>1.0075399999999999E-6</c:v>
                </c:pt>
                <c:pt idx="63">
                  <c:v>1.0075399999999999E-6</c:v>
                </c:pt>
                <c:pt idx="64">
                  <c:v>1.0075399999999999E-6</c:v>
                </c:pt>
                <c:pt idx="65">
                  <c:v>1.0075399999999999E-6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FEC-46E4-AB04-7B1C3F94C856}"/>
            </c:ext>
          </c:extLst>
        </c:ser>
        <c:ser>
          <c:idx val="3"/>
          <c:order val="3"/>
          <c:tx>
            <c:strRef>
              <c:f>Len_Sel_D!$E$6</c:f>
              <c:strCache>
                <c:ptCount val="1"/>
                <c:pt idx="0">
                  <c:v>1950_3_Lsel</c:v>
                </c:pt>
              </c:strCache>
            </c:strRef>
          </c:tx>
          <c:marker>
            <c:symbol val="none"/>
          </c:marker>
          <c:xVal>
            <c:numRef>
              <c:f>Len_Sel_D!$F$2:$BS$2</c:f>
              <c:numCache>
                <c:formatCode>General</c:formatCode>
                <c:ptCount val="66"/>
                <c:pt idx="0">
                  <c:v>1.0004999999999999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15</c:v>
                </c:pt>
                <c:pt idx="8">
                  <c:v>17</c:v>
                </c:pt>
                <c:pt idx="9">
                  <c:v>19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27</c:v>
                </c:pt>
                <c:pt idx="14">
                  <c:v>29</c:v>
                </c:pt>
                <c:pt idx="15">
                  <c:v>31</c:v>
                </c:pt>
                <c:pt idx="16">
                  <c:v>33</c:v>
                </c:pt>
                <c:pt idx="17">
                  <c:v>35</c:v>
                </c:pt>
                <c:pt idx="18">
                  <c:v>37</c:v>
                </c:pt>
                <c:pt idx="19">
                  <c:v>39</c:v>
                </c:pt>
                <c:pt idx="20">
                  <c:v>41</c:v>
                </c:pt>
                <c:pt idx="21">
                  <c:v>43</c:v>
                </c:pt>
                <c:pt idx="22">
                  <c:v>45</c:v>
                </c:pt>
                <c:pt idx="23">
                  <c:v>47</c:v>
                </c:pt>
                <c:pt idx="24">
                  <c:v>49</c:v>
                </c:pt>
                <c:pt idx="25">
                  <c:v>51</c:v>
                </c:pt>
                <c:pt idx="26">
                  <c:v>53</c:v>
                </c:pt>
                <c:pt idx="27">
                  <c:v>55</c:v>
                </c:pt>
                <c:pt idx="28">
                  <c:v>57</c:v>
                </c:pt>
                <c:pt idx="29">
                  <c:v>59</c:v>
                </c:pt>
                <c:pt idx="30">
                  <c:v>61</c:v>
                </c:pt>
                <c:pt idx="31">
                  <c:v>63</c:v>
                </c:pt>
                <c:pt idx="32">
                  <c:v>65</c:v>
                </c:pt>
                <c:pt idx="33">
                  <c:v>67</c:v>
                </c:pt>
                <c:pt idx="34">
                  <c:v>69</c:v>
                </c:pt>
                <c:pt idx="35">
                  <c:v>71</c:v>
                </c:pt>
                <c:pt idx="36">
                  <c:v>73</c:v>
                </c:pt>
                <c:pt idx="37">
                  <c:v>75</c:v>
                </c:pt>
                <c:pt idx="38">
                  <c:v>77</c:v>
                </c:pt>
                <c:pt idx="39">
                  <c:v>79</c:v>
                </c:pt>
                <c:pt idx="40">
                  <c:v>81</c:v>
                </c:pt>
                <c:pt idx="41">
                  <c:v>83</c:v>
                </c:pt>
                <c:pt idx="42">
                  <c:v>85</c:v>
                </c:pt>
                <c:pt idx="43">
                  <c:v>87</c:v>
                </c:pt>
                <c:pt idx="44">
                  <c:v>89</c:v>
                </c:pt>
                <c:pt idx="45">
                  <c:v>91</c:v>
                </c:pt>
                <c:pt idx="46">
                  <c:v>93</c:v>
                </c:pt>
                <c:pt idx="47">
                  <c:v>95</c:v>
                </c:pt>
                <c:pt idx="48">
                  <c:v>97</c:v>
                </c:pt>
                <c:pt idx="49">
                  <c:v>99</c:v>
                </c:pt>
                <c:pt idx="50">
                  <c:v>101</c:v>
                </c:pt>
                <c:pt idx="51">
                  <c:v>103</c:v>
                </c:pt>
                <c:pt idx="52">
                  <c:v>105</c:v>
                </c:pt>
                <c:pt idx="53">
                  <c:v>107</c:v>
                </c:pt>
                <c:pt idx="54">
                  <c:v>109</c:v>
                </c:pt>
                <c:pt idx="55">
                  <c:v>111</c:v>
                </c:pt>
                <c:pt idx="56">
                  <c:v>113</c:v>
                </c:pt>
                <c:pt idx="57">
                  <c:v>115</c:v>
                </c:pt>
                <c:pt idx="58">
                  <c:v>117</c:v>
                </c:pt>
                <c:pt idx="59">
                  <c:v>119</c:v>
                </c:pt>
                <c:pt idx="60">
                  <c:v>121</c:v>
                </c:pt>
                <c:pt idx="61">
                  <c:v>123</c:v>
                </c:pt>
                <c:pt idx="62">
                  <c:v>125</c:v>
                </c:pt>
                <c:pt idx="63">
                  <c:v>127</c:v>
                </c:pt>
                <c:pt idx="64">
                  <c:v>129</c:v>
                </c:pt>
                <c:pt idx="65">
                  <c:v>131</c:v>
                </c:pt>
              </c:numCache>
            </c:numRef>
          </c:xVal>
          <c:yVal>
            <c:numRef>
              <c:f>Len_Sel_D!$F$6:$BS$6</c:f>
              <c:numCache>
                <c:formatCode>0.00E+00</c:formatCode>
                <c:ptCount val="66"/>
                <c:pt idx="0">
                  <c:v>4.25757E-5</c:v>
                </c:pt>
                <c:pt idx="1">
                  <c:v>8.9755399999999998E-5</c:v>
                </c:pt>
                <c:pt idx="2" formatCode="General">
                  <c:v>1.90619E-4</c:v>
                </c:pt>
                <c:pt idx="3" formatCode="General">
                  <c:v>4.0616900000000001E-4</c:v>
                </c:pt>
                <c:pt idx="4" formatCode="General">
                  <c:v>8.6660999999999997E-4</c:v>
                </c:pt>
                <c:pt idx="5" formatCode="General">
                  <c:v>1.84936E-3</c:v>
                </c:pt>
                <c:pt idx="6" formatCode="General">
                  <c:v>3.9434099999999996E-3</c:v>
                </c:pt>
                <c:pt idx="7" formatCode="General">
                  <c:v>8.3902600000000001E-3</c:v>
                </c:pt>
                <c:pt idx="8" formatCode="General">
                  <c:v>1.7767000000000002E-2</c:v>
                </c:pt>
                <c:pt idx="9" formatCode="General">
                  <c:v>3.7251800000000002E-2</c:v>
                </c:pt>
                <c:pt idx="10" formatCode="General">
                  <c:v>7.6547000000000004E-2</c:v>
                </c:pt>
                <c:pt idx="11" formatCode="General">
                  <c:v>0.151228</c:v>
                </c:pt>
                <c:pt idx="12" formatCode="General">
                  <c:v>0.27837499999999998</c:v>
                </c:pt>
                <c:pt idx="13" formatCode="General">
                  <c:v>0.458901</c:v>
                </c:pt>
                <c:pt idx="14" formatCode="General">
                  <c:v>0.65812800000000005</c:v>
                </c:pt>
                <c:pt idx="15" formatCode="General">
                  <c:v>0.82378700000000005</c:v>
                </c:pt>
                <c:pt idx="16" formatCode="General">
                  <c:v>0.92960900000000002</c:v>
                </c:pt>
                <c:pt idx="17" formatCode="General">
                  <c:v>0.98247499999999999</c:v>
                </c:pt>
                <c:pt idx="18" formatCode="General">
                  <c:v>1</c:v>
                </c:pt>
                <c:pt idx="19" formatCode="General">
                  <c:v>0.99594899999999997</c:v>
                </c:pt>
                <c:pt idx="20" formatCode="General">
                  <c:v>0.97798799999999997</c:v>
                </c:pt>
                <c:pt idx="21" formatCode="General">
                  <c:v>0.94958799999999999</c:v>
                </c:pt>
                <c:pt idx="22" formatCode="General">
                  <c:v>0.91200300000000001</c:v>
                </c:pt>
                <c:pt idx="23" formatCode="General">
                  <c:v>0.865568</c:v>
                </c:pt>
                <c:pt idx="24" formatCode="General">
                  <c:v>0.81049300000000002</c:v>
                </c:pt>
                <c:pt idx="25" formatCode="General">
                  <c:v>0.74737600000000004</c:v>
                </c:pt>
                <c:pt idx="26" formatCode="General">
                  <c:v>0.67748799999999998</c:v>
                </c:pt>
                <c:pt idx="27" formatCode="General">
                  <c:v>0.60286499999999998</c:v>
                </c:pt>
                <c:pt idx="28" formatCode="General">
                  <c:v>0.52617000000000003</c:v>
                </c:pt>
                <c:pt idx="29" formatCode="General">
                  <c:v>0.45035799999999998</c:v>
                </c:pt>
                <c:pt idx="30" formatCode="General">
                  <c:v>0.378247</c:v>
                </c:pt>
                <c:pt idx="31" formatCode="General">
                  <c:v>0.31212099999999998</c:v>
                </c:pt>
                <c:pt idx="32" formatCode="General">
                  <c:v>0.25348700000000002</c:v>
                </c:pt>
                <c:pt idx="33" formatCode="General">
                  <c:v>0.20302300000000001</c:v>
                </c:pt>
                <c:pt idx="34" formatCode="General">
                  <c:v>0.160695</c:v>
                </c:pt>
                <c:pt idx="35" formatCode="General">
                  <c:v>0.12595100000000001</c:v>
                </c:pt>
                <c:pt idx="36" formatCode="General">
                  <c:v>9.7934099999999996E-2</c:v>
                </c:pt>
                <c:pt idx="37" formatCode="General">
                  <c:v>7.5664700000000001E-2</c:v>
                </c:pt>
                <c:pt idx="38" formatCode="General">
                  <c:v>5.8164800000000003E-2</c:v>
                </c:pt>
                <c:pt idx="39" formatCode="General">
                  <c:v>4.4536199999999998E-2</c:v>
                </c:pt>
                <c:pt idx="40" formatCode="General">
                  <c:v>3.3996600000000002E-2</c:v>
                </c:pt>
                <c:pt idx="41" formatCode="General">
                  <c:v>2.589E-2</c:v>
                </c:pt>
                <c:pt idx="42" formatCode="General">
                  <c:v>1.9680799999999998E-2</c:v>
                </c:pt>
                <c:pt idx="43" formatCode="General">
                  <c:v>1.49401E-2</c:v>
                </c:pt>
                <c:pt idx="44" formatCode="General">
                  <c:v>1.13293E-2</c:v>
                </c:pt>
                <c:pt idx="45" formatCode="General">
                  <c:v>8.5844200000000006E-3</c:v>
                </c:pt>
                <c:pt idx="46" formatCode="General">
                  <c:v>6.5006400000000002E-3</c:v>
                </c:pt>
                <c:pt idx="47" formatCode="General">
                  <c:v>4.9204499999999998E-3</c:v>
                </c:pt>
                <c:pt idx="48" formatCode="General">
                  <c:v>3.7231400000000002E-3</c:v>
                </c:pt>
                <c:pt idx="49" formatCode="General">
                  <c:v>2.8164800000000001E-3</c:v>
                </c:pt>
                <c:pt idx="50" formatCode="General">
                  <c:v>2.1302500000000002E-3</c:v>
                </c:pt>
                <c:pt idx="51" formatCode="General">
                  <c:v>1.61104E-3</c:v>
                </c:pt>
                <c:pt idx="52" formatCode="General">
                  <c:v>1.2183000000000001E-3</c:v>
                </c:pt>
                <c:pt idx="53" formatCode="General">
                  <c:v>9.2129099999999997E-4</c:v>
                </c:pt>
                <c:pt idx="54" formatCode="General">
                  <c:v>6.9670699999999997E-4</c:v>
                </c:pt>
                <c:pt idx="55" formatCode="General">
                  <c:v>5.2691000000000001E-4</c:v>
                </c:pt>
                <c:pt idx="56" formatCode="General">
                  <c:v>3.9854400000000002E-4</c:v>
                </c:pt>
                <c:pt idx="57" formatCode="General">
                  <c:v>3.0150799999999997E-4</c:v>
                </c:pt>
                <c:pt idx="58" formatCode="General">
                  <c:v>2.2815800000000001E-4</c:v>
                </c:pt>
                <c:pt idx="59" formatCode="General">
                  <c:v>1.7271499999999999E-4</c:v>
                </c:pt>
                <c:pt idx="60" formatCode="General">
                  <c:v>1.3080899999999999E-4</c:v>
                </c:pt>
                <c:pt idx="61">
                  <c:v>9.9134200000000004E-5</c:v>
                </c:pt>
                <c:pt idx="62">
                  <c:v>7.5193900000000005E-5</c:v>
                </c:pt>
                <c:pt idx="63">
                  <c:v>5.7099499999999998E-5</c:v>
                </c:pt>
                <c:pt idx="64">
                  <c:v>4.3423600000000002E-5</c:v>
                </c:pt>
                <c:pt idx="65">
                  <c:v>3.3087399999999998E-5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FEC-46E4-AB04-7B1C3F94C856}"/>
            </c:ext>
          </c:extLst>
        </c:ser>
        <c:ser>
          <c:idx val="4"/>
          <c:order val="4"/>
          <c:tx>
            <c:strRef>
              <c:f>Len_Sel_D!$E$7</c:f>
              <c:strCache>
                <c:ptCount val="1"/>
                <c:pt idx="0">
                  <c:v>1989_3_Lsel</c:v>
                </c:pt>
              </c:strCache>
            </c:strRef>
          </c:tx>
          <c:marker>
            <c:symbol val="none"/>
          </c:marker>
          <c:xVal>
            <c:numRef>
              <c:f>Len_Sel_D!$F$2:$BS$2</c:f>
              <c:numCache>
                <c:formatCode>General</c:formatCode>
                <c:ptCount val="66"/>
                <c:pt idx="0">
                  <c:v>1.0004999999999999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15</c:v>
                </c:pt>
                <c:pt idx="8">
                  <c:v>17</c:v>
                </c:pt>
                <c:pt idx="9">
                  <c:v>19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27</c:v>
                </c:pt>
                <c:pt idx="14">
                  <c:v>29</c:v>
                </c:pt>
                <c:pt idx="15">
                  <c:v>31</c:v>
                </c:pt>
                <c:pt idx="16">
                  <c:v>33</c:v>
                </c:pt>
                <c:pt idx="17">
                  <c:v>35</c:v>
                </c:pt>
                <c:pt idx="18">
                  <c:v>37</c:v>
                </c:pt>
                <c:pt idx="19">
                  <c:v>39</c:v>
                </c:pt>
                <c:pt idx="20">
                  <c:v>41</c:v>
                </c:pt>
                <c:pt idx="21">
                  <c:v>43</c:v>
                </c:pt>
                <c:pt idx="22">
                  <c:v>45</c:v>
                </c:pt>
                <c:pt idx="23">
                  <c:v>47</c:v>
                </c:pt>
                <c:pt idx="24">
                  <c:v>49</c:v>
                </c:pt>
                <c:pt idx="25">
                  <c:v>51</c:v>
                </c:pt>
                <c:pt idx="26">
                  <c:v>53</c:v>
                </c:pt>
                <c:pt idx="27">
                  <c:v>55</c:v>
                </c:pt>
                <c:pt idx="28">
                  <c:v>57</c:v>
                </c:pt>
                <c:pt idx="29">
                  <c:v>59</c:v>
                </c:pt>
                <c:pt idx="30">
                  <c:v>61</c:v>
                </c:pt>
                <c:pt idx="31">
                  <c:v>63</c:v>
                </c:pt>
                <c:pt idx="32">
                  <c:v>65</c:v>
                </c:pt>
                <c:pt idx="33">
                  <c:v>67</c:v>
                </c:pt>
                <c:pt idx="34">
                  <c:v>69</c:v>
                </c:pt>
                <c:pt idx="35">
                  <c:v>71</c:v>
                </c:pt>
                <c:pt idx="36">
                  <c:v>73</c:v>
                </c:pt>
                <c:pt idx="37">
                  <c:v>75</c:v>
                </c:pt>
                <c:pt idx="38">
                  <c:v>77</c:v>
                </c:pt>
                <c:pt idx="39">
                  <c:v>79</c:v>
                </c:pt>
                <c:pt idx="40">
                  <c:v>81</c:v>
                </c:pt>
                <c:pt idx="41">
                  <c:v>83</c:v>
                </c:pt>
                <c:pt idx="42">
                  <c:v>85</c:v>
                </c:pt>
                <c:pt idx="43">
                  <c:v>87</c:v>
                </c:pt>
                <c:pt idx="44">
                  <c:v>89</c:v>
                </c:pt>
                <c:pt idx="45">
                  <c:v>91</c:v>
                </c:pt>
                <c:pt idx="46">
                  <c:v>93</c:v>
                </c:pt>
                <c:pt idx="47">
                  <c:v>95</c:v>
                </c:pt>
                <c:pt idx="48">
                  <c:v>97</c:v>
                </c:pt>
                <c:pt idx="49">
                  <c:v>99</c:v>
                </c:pt>
                <c:pt idx="50">
                  <c:v>101</c:v>
                </c:pt>
                <c:pt idx="51">
                  <c:v>103</c:v>
                </c:pt>
                <c:pt idx="52">
                  <c:v>105</c:v>
                </c:pt>
                <c:pt idx="53">
                  <c:v>107</c:v>
                </c:pt>
                <c:pt idx="54">
                  <c:v>109</c:v>
                </c:pt>
                <c:pt idx="55">
                  <c:v>111</c:v>
                </c:pt>
                <c:pt idx="56">
                  <c:v>113</c:v>
                </c:pt>
                <c:pt idx="57">
                  <c:v>115</c:v>
                </c:pt>
                <c:pt idx="58">
                  <c:v>117</c:v>
                </c:pt>
                <c:pt idx="59">
                  <c:v>119</c:v>
                </c:pt>
                <c:pt idx="60">
                  <c:v>121</c:v>
                </c:pt>
                <c:pt idx="61">
                  <c:v>123</c:v>
                </c:pt>
                <c:pt idx="62">
                  <c:v>125</c:v>
                </c:pt>
                <c:pt idx="63">
                  <c:v>127</c:v>
                </c:pt>
                <c:pt idx="64">
                  <c:v>129</c:v>
                </c:pt>
                <c:pt idx="65">
                  <c:v>131</c:v>
                </c:pt>
              </c:numCache>
            </c:numRef>
          </c:xVal>
          <c:yVal>
            <c:numRef>
              <c:f>Len_Sel_D!$F$7:$BS$7</c:f>
              <c:numCache>
                <c:formatCode>General</c:formatCode>
                <c:ptCount val="66"/>
                <c:pt idx="0">
                  <c:v>5.5260600000000002E-3</c:v>
                </c:pt>
                <c:pt idx="1">
                  <c:v>7.6703199999999996E-3</c:v>
                </c:pt>
                <c:pt idx="2">
                  <c:v>1.0639600000000001E-2</c:v>
                </c:pt>
                <c:pt idx="3">
                  <c:v>1.4743600000000001E-2</c:v>
                </c:pt>
                <c:pt idx="4">
                  <c:v>2.0403000000000001E-2</c:v>
                </c:pt>
                <c:pt idx="5">
                  <c:v>2.8183400000000001E-2</c:v>
                </c:pt>
                <c:pt idx="6">
                  <c:v>3.8835599999999998E-2</c:v>
                </c:pt>
                <c:pt idx="7">
                  <c:v>5.3337799999999998E-2</c:v>
                </c:pt>
                <c:pt idx="8">
                  <c:v>7.2933399999999995E-2</c:v>
                </c:pt>
                <c:pt idx="9">
                  <c:v>9.9144499999999997E-2</c:v>
                </c:pt>
                <c:pt idx="10">
                  <c:v>0.13373399999999999</c:v>
                </c:pt>
                <c:pt idx="11">
                  <c:v>0.17857600000000001</c:v>
                </c:pt>
                <c:pt idx="12">
                  <c:v>0.235372</c:v>
                </c:pt>
                <c:pt idx="13">
                  <c:v>0.30520599999999998</c:v>
                </c:pt>
                <c:pt idx="14">
                  <c:v>0.387934</c:v>
                </c:pt>
                <c:pt idx="15">
                  <c:v>0.48159099999999999</c:v>
                </c:pt>
                <c:pt idx="16">
                  <c:v>0.58206999999999998</c:v>
                </c:pt>
                <c:pt idx="17">
                  <c:v>0.68338100000000002</c:v>
                </c:pt>
                <c:pt idx="18">
                  <c:v>0.77859299999999998</c:v>
                </c:pt>
                <c:pt idx="19">
                  <c:v>0.86117699999999997</c:v>
                </c:pt>
                <c:pt idx="20">
                  <c:v>0.92622199999999999</c:v>
                </c:pt>
                <c:pt idx="21">
                  <c:v>0.97107299999999996</c:v>
                </c:pt>
                <c:pt idx="22">
                  <c:v>0.99526499999999996</c:v>
                </c:pt>
                <c:pt idx="23">
                  <c:v>1</c:v>
                </c:pt>
                <c:pt idx="24">
                  <c:v>0.98748199999999997</c:v>
                </c:pt>
                <c:pt idx="25">
                  <c:v>0.96035899999999996</c:v>
                </c:pt>
                <c:pt idx="26">
                  <c:v>0.92135800000000001</c:v>
                </c:pt>
                <c:pt idx="27">
                  <c:v>0.87309000000000003</c:v>
                </c:pt>
                <c:pt idx="28">
                  <c:v>0.81797500000000001</c:v>
                </c:pt>
                <c:pt idx="29">
                  <c:v>0.758216</c:v>
                </c:pt>
                <c:pt idx="30">
                  <c:v>0.69580200000000003</c:v>
                </c:pt>
                <c:pt idx="31">
                  <c:v>0.63249599999999995</c:v>
                </c:pt>
                <c:pt idx="32">
                  <c:v>0.56982600000000005</c:v>
                </c:pt>
                <c:pt idx="33">
                  <c:v>0.50907000000000002</c:v>
                </c:pt>
                <c:pt idx="34">
                  <c:v>0.45124500000000001</c:v>
                </c:pt>
                <c:pt idx="35">
                  <c:v>0.39710800000000002</c:v>
                </c:pt>
                <c:pt idx="36">
                  <c:v>0.347163</c:v>
                </c:pt>
                <c:pt idx="37">
                  <c:v>0.30168800000000001</c:v>
                </c:pt>
                <c:pt idx="38">
                  <c:v>0.260764</c:v>
                </c:pt>
                <c:pt idx="39">
                  <c:v>0.22431799999999999</c:v>
                </c:pt>
                <c:pt idx="40">
                  <c:v>0.19215299999999999</c:v>
                </c:pt>
                <c:pt idx="41">
                  <c:v>0.163994</c:v>
                </c:pt>
                <c:pt idx="42">
                  <c:v>0.139513</c:v>
                </c:pt>
                <c:pt idx="43">
                  <c:v>0.118358</c:v>
                </c:pt>
                <c:pt idx="44">
                  <c:v>0.100171</c:v>
                </c:pt>
                <c:pt idx="45">
                  <c:v>8.4605399999999997E-2</c:v>
                </c:pt>
                <c:pt idx="46">
                  <c:v>7.1333999999999995E-2</c:v>
                </c:pt>
                <c:pt idx="47">
                  <c:v>6.0055200000000003E-2</c:v>
                </c:pt>
                <c:pt idx="48">
                  <c:v>5.0496199999999998E-2</c:v>
                </c:pt>
                <c:pt idx="49">
                  <c:v>4.2413600000000003E-2</c:v>
                </c:pt>
                <c:pt idx="50">
                  <c:v>3.5592699999999998E-2</c:v>
                </c:pt>
                <c:pt idx="51">
                  <c:v>2.98461E-2</c:v>
                </c:pt>
                <c:pt idx="52">
                  <c:v>2.5011499999999999E-2</c:v>
                </c:pt>
                <c:pt idx="53">
                  <c:v>2.09488E-2</c:v>
                </c:pt>
                <c:pt idx="54">
                  <c:v>1.75382E-2</c:v>
                </c:pt>
                <c:pt idx="55">
                  <c:v>1.4677300000000001E-2</c:v>
                </c:pt>
                <c:pt idx="56">
                  <c:v>1.22793E-2</c:v>
                </c:pt>
                <c:pt idx="57">
                  <c:v>1.0270400000000001E-2</c:v>
                </c:pt>
                <c:pt idx="58">
                  <c:v>8.5882300000000005E-3</c:v>
                </c:pt>
                <c:pt idx="59">
                  <c:v>7.1803199999999996E-3</c:v>
                </c:pt>
                <c:pt idx="60">
                  <c:v>6.0023200000000002E-3</c:v>
                </c:pt>
                <c:pt idx="61">
                  <c:v>5.0169699999999999E-3</c:v>
                </c:pt>
                <c:pt idx="62">
                  <c:v>4.1929599999999999E-3</c:v>
                </c:pt>
                <c:pt idx="63">
                  <c:v>3.5040200000000001E-3</c:v>
                </c:pt>
                <c:pt idx="64">
                  <c:v>2.9280899999999999E-3</c:v>
                </c:pt>
                <c:pt idx="65">
                  <c:v>2.4467E-3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FEC-46E4-AB04-7B1C3F94C856}"/>
            </c:ext>
          </c:extLst>
        </c:ser>
        <c:ser>
          <c:idx val="5"/>
          <c:order val="5"/>
          <c:tx>
            <c:strRef>
              <c:f>Len_Sel_D!#REF!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Len_Sel_D!$F$2:$BS$2</c:f>
              <c:numCache>
                <c:formatCode>General</c:formatCode>
                <c:ptCount val="66"/>
                <c:pt idx="0">
                  <c:v>1.0004999999999999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15</c:v>
                </c:pt>
                <c:pt idx="8">
                  <c:v>17</c:v>
                </c:pt>
                <c:pt idx="9">
                  <c:v>19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27</c:v>
                </c:pt>
                <c:pt idx="14">
                  <c:v>29</c:v>
                </c:pt>
                <c:pt idx="15">
                  <c:v>31</c:v>
                </c:pt>
                <c:pt idx="16">
                  <c:v>33</c:v>
                </c:pt>
                <c:pt idx="17">
                  <c:v>35</c:v>
                </c:pt>
                <c:pt idx="18">
                  <c:v>37</c:v>
                </c:pt>
                <c:pt idx="19">
                  <c:v>39</c:v>
                </c:pt>
                <c:pt idx="20">
                  <c:v>41</c:v>
                </c:pt>
                <c:pt idx="21">
                  <c:v>43</c:v>
                </c:pt>
                <c:pt idx="22">
                  <c:v>45</c:v>
                </c:pt>
                <c:pt idx="23">
                  <c:v>47</c:v>
                </c:pt>
                <c:pt idx="24">
                  <c:v>49</c:v>
                </c:pt>
                <c:pt idx="25">
                  <c:v>51</c:v>
                </c:pt>
                <c:pt idx="26">
                  <c:v>53</c:v>
                </c:pt>
                <c:pt idx="27">
                  <c:v>55</c:v>
                </c:pt>
                <c:pt idx="28">
                  <c:v>57</c:v>
                </c:pt>
                <c:pt idx="29">
                  <c:v>59</c:v>
                </c:pt>
                <c:pt idx="30">
                  <c:v>61</c:v>
                </c:pt>
                <c:pt idx="31">
                  <c:v>63</c:v>
                </c:pt>
                <c:pt idx="32">
                  <c:v>65</c:v>
                </c:pt>
                <c:pt idx="33">
                  <c:v>67</c:v>
                </c:pt>
                <c:pt idx="34">
                  <c:v>69</c:v>
                </c:pt>
                <c:pt idx="35">
                  <c:v>71</c:v>
                </c:pt>
                <c:pt idx="36">
                  <c:v>73</c:v>
                </c:pt>
                <c:pt idx="37">
                  <c:v>75</c:v>
                </c:pt>
                <c:pt idx="38">
                  <c:v>77</c:v>
                </c:pt>
                <c:pt idx="39">
                  <c:v>79</c:v>
                </c:pt>
                <c:pt idx="40">
                  <c:v>81</c:v>
                </c:pt>
                <c:pt idx="41">
                  <c:v>83</c:v>
                </c:pt>
                <c:pt idx="42">
                  <c:v>85</c:v>
                </c:pt>
                <c:pt idx="43">
                  <c:v>87</c:v>
                </c:pt>
                <c:pt idx="44">
                  <c:v>89</c:v>
                </c:pt>
                <c:pt idx="45">
                  <c:v>91</c:v>
                </c:pt>
                <c:pt idx="46">
                  <c:v>93</c:v>
                </c:pt>
                <c:pt idx="47">
                  <c:v>95</c:v>
                </c:pt>
                <c:pt idx="48">
                  <c:v>97</c:v>
                </c:pt>
                <c:pt idx="49">
                  <c:v>99</c:v>
                </c:pt>
                <c:pt idx="50">
                  <c:v>101</c:v>
                </c:pt>
                <c:pt idx="51">
                  <c:v>103</c:v>
                </c:pt>
                <c:pt idx="52">
                  <c:v>105</c:v>
                </c:pt>
                <c:pt idx="53">
                  <c:v>107</c:v>
                </c:pt>
                <c:pt idx="54">
                  <c:v>109</c:v>
                </c:pt>
                <c:pt idx="55">
                  <c:v>111</c:v>
                </c:pt>
                <c:pt idx="56">
                  <c:v>113</c:v>
                </c:pt>
                <c:pt idx="57">
                  <c:v>115</c:v>
                </c:pt>
                <c:pt idx="58">
                  <c:v>117</c:v>
                </c:pt>
                <c:pt idx="59">
                  <c:v>119</c:v>
                </c:pt>
                <c:pt idx="60">
                  <c:v>121</c:v>
                </c:pt>
                <c:pt idx="61">
                  <c:v>123</c:v>
                </c:pt>
                <c:pt idx="62">
                  <c:v>125</c:v>
                </c:pt>
                <c:pt idx="63">
                  <c:v>127</c:v>
                </c:pt>
                <c:pt idx="64">
                  <c:v>129</c:v>
                </c:pt>
                <c:pt idx="65">
                  <c:v>131</c:v>
                </c:pt>
              </c:numCache>
            </c:numRef>
          </c:xVal>
          <c:yVal>
            <c:numRef>
              <c:f>Len_Sel_D!#REF!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FEC-46E4-AB04-7B1C3F94C856}"/>
            </c:ext>
          </c:extLst>
        </c:ser>
        <c:ser>
          <c:idx val="6"/>
          <c:order val="6"/>
          <c:tx>
            <c:strRef>
              <c:f>Len_Sel_D!#REF!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Len_Sel_D!$F$2:$BS$2</c:f>
              <c:numCache>
                <c:formatCode>General</c:formatCode>
                <c:ptCount val="66"/>
                <c:pt idx="0">
                  <c:v>1.0004999999999999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15</c:v>
                </c:pt>
                <c:pt idx="8">
                  <c:v>17</c:v>
                </c:pt>
                <c:pt idx="9">
                  <c:v>19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27</c:v>
                </c:pt>
                <c:pt idx="14">
                  <c:v>29</c:v>
                </c:pt>
                <c:pt idx="15">
                  <c:v>31</c:v>
                </c:pt>
                <c:pt idx="16">
                  <c:v>33</c:v>
                </c:pt>
                <c:pt idx="17">
                  <c:v>35</c:v>
                </c:pt>
                <c:pt idx="18">
                  <c:v>37</c:v>
                </c:pt>
                <c:pt idx="19">
                  <c:v>39</c:v>
                </c:pt>
                <c:pt idx="20">
                  <c:v>41</c:v>
                </c:pt>
                <c:pt idx="21">
                  <c:v>43</c:v>
                </c:pt>
                <c:pt idx="22">
                  <c:v>45</c:v>
                </c:pt>
                <c:pt idx="23">
                  <c:v>47</c:v>
                </c:pt>
                <c:pt idx="24">
                  <c:v>49</c:v>
                </c:pt>
                <c:pt idx="25">
                  <c:v>51</c:v>
                </c:pt>
                <c:pt idx="26">
                  <c:v>53</c:v>
                </c:pt>
                <c:pt idx="27">
                  <c:v>55</c:v>
                </c:pt>
                <c:pt idx="28">
                  <c:v>57</c:v>
                </c:pt>
                <c:pt idx="29">
                  <c:v>59</c:v>
                </c:pt>
                <c:pt idx="30">
                  <c:v>61</c:v>
                </c:pt>
                <c:pt idx="31">
                  <c:v>63</c:v>
                </c:pt>
                <c:pt idx="32">
                  <c:v>65</c:v>
                </c:pt>
                <c:pt idx="33">
                  <c:v>67</c:v>
                </c:pt>
                <c:pt idx="34">
                  <c:v>69</c:v>
                </c:pt>
                <c:pt idx="35">
                  <c:v>71</c:v>
                </c:pt>
                <c:pt idx="36">
                  <c:v>73</c:v>
                </c:pt>
                <c:pt idx="37">
                  <c:v>75</c:v>
                </c:pt>
                <c:pt idx="38">
                  <c:v>77</c:v>
                </c:pt>
                <c:pt idx="39">
                  <c:v>79</c:v>
                </c:pt>
                <c:pt idx="40">
                  <c:v>81</c:v>
                </c:pt>
                <c:pt idx="41">
                  <c:v>83</c:v>
                </c:pt>
                <c:pt idx="42">
                  <c:v>85</c:v>
                </c:pt>
                <c:pt idx="43">
                  <c:v>87</c:v>
                </c:pt>
                <c:pt idx="44">
                  <c:v>89</c:v>
                </c:pt>
                <c:pt idx="45">
                  <c:v>91</c:v>
                </c:pt>
                <c:pt idx="46">
                  <c:v>93</c:v>
                </c:pt>
                <c:pt idx="47">
                  <c:v>95</c:v>
                </c:pt>
                <c:pt idx="48">
                  <c:v>97</c:v>
                </c:pt>
                <c:pt idx="49">
                  <c:v>99</c:v>
                </c:pt>
                <c:pt idx="50">
                  <c:v>101</c:v>
                </c:pt>
                <c:pt idx="51">
                  <c:v>103</c:v>
                </c:pt>
                <c:pt idx="52">
                  <c:v>105</c:v>
                </c:pt>
                <c:pt idx="53">
                  <c:v>107</c:v>
                </c:pt>
                <c:pt idx="54">
                  <c:v>109</c:v>
                </c:pt>
                <c:pt idx="55">
                  <c:v>111</c:v>
                </c:pt>
                <c:pt idx="56">
                  <c:v>113</c:v>
                </c:pt>
                <c:pt idx="57">
                  <c:v>115</c:v>
                </c:pt>
                <c:pt idx="58">
                  <c:v>117</c:v>
                </c:pt>
                <c:pt idx="59">
                  <c:v>119</c:v>
                </c:pt>
                <c:pt idx="60">
                  <c:v>121</c:v>
                </c:pt>
                <c:pt idx="61">
                  <c:v>123</c:v>
                </c:pt>
                <c:pt idx="62">
                  <c:v>125</c:v>
                </c:pt>
                <c:pt idx="63">
                  <c:v>127</c:v>
                </c:pt>
                <c:pt idx="64">
                  <c:v>129</c:v>
                </c:pt>
                <c:pt idx="65">
                  <c:v>131</c:v>
                </c:pt>
              </c:numCache>
            </c:numRef>
          </c:xVal>
          <c:yVal>
            <c:numRef>
              <c:f>Len_Sel_D!#REF!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FEC-46E4-AB04-7B1C3F94C8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846656"/>
        <c:axId val="147848192"/>
      </c:scatterChart>
      <c:valAx>
        <c:axId val="147846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7848192"/>
        <c:crosses val="autoZero"/>
        <c:crossBetween val="midCat"/>
      </c:valAx>
      <c:valAx>
        <c:axId val="147848192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1478466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344" l="0.70000000000000062" r="0.70000000000000062" t="0.75000000000000344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Age_Sel_D!$G$3</c:f>
              <c:strCache>
                <c:ptCount val="1"/>
                <c:pt idx="0">
                  <c:v>1957_1Asel</c:v>
                </c:pt>
              </c:strCache>
            </c:strRef>
          </c:tx>
          <c:marker>
            <c:symbol val="none"/>
          </c:marker>
          <c:xVal>
            <c:numRef>
              <c:f>Age_Sel_D!$H$2:$T$2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Age_Sel_D!$H$3:$T$3</c:f>
              <c:numCache>
                <c:formatCode>General</c:formatCode>
                <c:ptCount val="13"/>
                <c:pt idx="0">
                  <c:v>0</c:v>
                </c:pt>
                <c:pt idx="1">
                  <c:v>0.18268400000000001</c:v>
                </c:pt>
                <c:pt idx="2">
                  <c:v>0.272532</c:v>
                </c:pt>
                <c:pt idx="3">
                  <c:v>0.496585</c:v>
                </c:pt>
                <c:pt idx="4">
                  <c:v>0.74081799999999998</c:v>
                </c:pt>
                <c:pt idx="5">
                  <c:v>0.904837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37-4F87-9EA2-FC4131D060B6}"/>
            </c:ext>
          </c:extLst>
        </c:ser>
        <c:ser>
          <c:idx val="1"/>
          <c:order val="1"/>
          <c:tx>
            <c:strRef>
              <c:f>Age_Sel_D!$G$4</c:f>
              <c:strCache>
                <c:ptCount val="1"/>
                <c:pt idx="0">
                  <c:v>2008_1Asel</c:v>
                </c:pt>
              </c:strCache>
            </c:strRef>
          </c:tx>
          <c:marker>
            <c:symbol val="none"/>
          </c:marker>
          <c:xVal>
            <c:numRef>
              <c:f>Age_Sel_D!$H$2:$T$2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Age_Sel_D!$H$4:$T$4</c:f>
              <c:numCache>
                <c:formatCode>General</c:formatCode>
                <c:ptCount val="13"/>
                <c:pt idx="0">
                  <c:v>0</c:v>
                </c:pt>
                <c:pt idx="1">
                  <c:v>0.18268400000000001</c:v>
                </c:pt>
                <c:pt idx="2">
                  <c:v>0.272532</c:v>
                </c:pt>
                <c:pt idx="3">
                  <c:v>0.496585</c:v>
                </c:pt>
                <c:pt idx="4">
                  <c:v>0.74081799999999998</c:v>
                </c:pt>
                <c:pt idx="5">
                  <c:v>0.904837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437-4F87-9EA2-FC4131D060B6}"/>
            </c:ext>
          </c:extLst>
        </c:ser>
        <c:ser>
          <c:idx val="2"/>
          <c:order val="2"/>
          <c:tx>
            <c:strRef>
              <c:f>Age_Sel_D!$G$5</c:f>
              <c:strCache>
                <c:ptCount val="1"/>
                <c:pt idx="0">
                  <c:v>2009_1Asel</c:v>
                </c:pt>
              </c:strCache>
            </c:strRef>
          </c:tx>
          <c:marker>
            <c:symbol val="none"/>
          </c:marker>
          <c:xVal>
            <c:numRef>
              <c:f>Age_Sel_D!$H$2:$T$2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Age_Sel_D!$H$5:$T$5</c:f>
              <c:numCache>
                <c:formatCode>General</c:formatCode>
                <c:ptCount val="13"/>
                <c:pt idx="0">
                  <c:v>0</c:v>
                </c:pt>
                <c:pt idx="1">
                  <c:v>0.18268400000000001</c:v>
                </c:pt>
                <c:pt idx="2">
                  <c:v>0.272532</c:v>
                </c:pt>
                <c:pt idx="3">
                  <c:v>0.496585</c:v>
                </c:pt>
                <c:pt idx="4">
                  <c:v>0.74081799999999998</c:v>
                </c:pt>
                <c:pt idx="5">
                  <c:v>0.904837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437-4F87-9EA2-FC4131D060B6}"/>
            </c:ext>
          </c:extLst>
        </c:ser>
        <c:ser>
          <c:idx val="3"/>
          <c:order val="3"/>
          <c:tx>
            <c:strRef>
              <c:f>Age_Sel_D!$G$6</c:f>
              <c:strCache>
                <c:ptCount val="1"/>
                <c:pt idx="0">
                  <c:v>1957_2Asel</c:v>
                </c:pt>
              </c:strCache>
            </c:strRef>
          </c:tx>
          <c:marker>
            <c:symbol val="none"/>
          </c:marker>
          <c:xVal>
            <c:numRef>
              <c:f>Age_Sel_D!$H$2:$T$2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Age_Sel_D!$H$6:$T$6</c:f>
              <c:numCache>
                <c:formatCode>General</c:formatCode>
                <c:ptCount val="13"/>
                <c:pt idx="0">
                  <c:v>0</c:v>
                </c:pt>
                <c:pt idx="1">
                  <c:v>0.18268400000000001</c:v>
                </c:pt>
                <c:pt idx="2">
                  <c:v>0.272532</c:v>
                </c:pt>
                <c:pt idx="3">
                  <c:v>0.496585</c:v>
                </c:pt>
                <c:pt idx="4">
                  <c:v>0.74081799999999998</c:v>
                </c:pt>
                <c:pt idx="5">
                  <c:v>0.904837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437-4F87-9EA2-FC4131D060B6}"/>
            </c:ext>
          </c:extLst>
        </c:ser>
        <c:ser>
          <c:idx val="4"/>
          <c:order val="4"/>
          <c:tx>
            <c:strRef>
              <c:f>Age_Sel_D!$G$7</c:f>
              <c:strCache>
                <c:ptCount val="1"/>
                <c:pt idx="0">
                  <c:v>2008_2Asel</c:v>
                </c:pt>
              </c:strCache>
            </c:strRef>
          </c:tx>
          <c:marker>
            <c:symbol val="none"/>
          </c:marker>
          <c:xVal>
            <c:numRef>
              <c:f>Age_Sel_D!$H$2:$T$2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Age_Sel_D!$H$7:$T$7</c:f>
              <c:numCache>
                <c:formatCode>General</c:formatCode>
                <c:ptCount val="13"/>
                <c:pt idx="0">
                  <c:v>0</c:v>
                </c:pt>
                <c:pt idx="1">
                  <c:v>0.18268400000000001</c:v>
                </c:pt>
                <c:pt idx="2">
                  <c:v>0.272532</c:v>
                </c:pt>
                <c:pt idx="3">
                  <c:v>0.496585</c:v>
                </c:pt>
                <c:pt idx="4">
                  <c:v>0.74081799999999998</c:v>
                </c:pt>
                <c:pt idx="5">
                  <c:v>0.904837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437-4F87-9EA2-FC4131D060B6}"/>
            </c:ext>
          </c:extLst>
        </c:ser>
        <c:ser>
          <c:idx val="5"/>
          <c:order val="5"/>
          <c:tx>
            <c:strRef>
              <c:f>Age_Sel_D!#REF!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Age_Sel_D!$H$2:$T$2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Age_Sel_D!#REF!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437-4F87-9EA2-FC4131D060B6}"/>
            </c:ext>
          </c:extLst>
        </c:ser>
        <c:ser>
          <c:idx val="6"/>
          <c:order val="6"/>
          <c:tx>
            <c:strRef>
              <c:f>Age_Sel_D!#REF!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Age_Sel_D!$H$2:$T$2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Age_Sel_D!#REF!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437-4F87-9EA2-FC4131D060B6}"/>
            </c:ext>
          </c:extLst>
        </c:ser>
        <c:ser>
          <c:idx val="7"/>
          <c:order val="7"/>
          <c:tx>
            <c:strRef>
              <c:f>Age_Sel_D!#REF!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Age_Sel_D!$H$2:$T$2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Age_Sel_D!#REF!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437-4F87-9EA2-FC4131D060B6}"/>
            </c:ext>
          </c:extLst>
        </c:ser>
        <c:ser>
          <c:idx val="8"/>
          <c:order val="8"/>
          <c:tx>
            <c:strRef>
              <c:f>Age_Sel_D!#REF!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Age_Sel_D!$H$2:$T$2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Age_Sel_D!#REF!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437-4F87-9EA2-FC4131D060B6}"/>
            </c:ext>
          </c:extLst>
        </c:ser>
        <c:ser>
          <c:idx val="9"/>
          <c:order val="9"/>
          <c:tx>
            <c:strRef>
              <c:f>Age_Sel_D!#REF!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Age_Sel_D!$H$2:$T$2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Age_Sel_D!#REF!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437-4F87-9EA2-FC4131D060B6}"/>
            </c:ext>
          </c:extLst>
        </c:ser>
        <c:ser>
          <c:idx val="10"/>
          <c:order val="10"/>
          <c:tx>
            <c:strRef>
              <c:f>Age_Sel_D!#REF!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Age_Sel_D!$H$2:$T$2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Age_Sel_D!#REF!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437-4F87-9EA2-FC4131D060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350528"/>
        <c:axId val="153352064"/>
      </c:scatterChart>
      <c:valAx>
        <c:axId val="153350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3352064"/>
        <c:crosses val="autoZero"/>
        <c:crossBetween val="midCat"/>
      </c:valAx>
      <c:valAx>
        <c:axId val="153352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335052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366" l="0.70000000000000062" r="0.70000000000000062" t="0.75000000000000366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Discard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0070C0"/>
                </a:solidFill>
              </a:ln>
            </c:spPr>
          </c:marker>
          <c:xVal>
            <c:numRef>
              <c:f>Discard!Yr</c:f>
              <c:numCache>
                <c:formatCode>General</c:formatCode>
                <c:ptCount val="2"/>
              </c:numCache>
            </c:numRef>
          </c:xVal>
          <c:yVal>
            <c:numRef>
              <c:f>Discard!delete_OBS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C5-44C7-8522-0BE04BC157EB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</c:spPr>
          </c:marker>
          <c:xVal>
            <c:numRef>
              <c:f>Discard!Yr</c:f>
              <c:numCache>
                <c:formatCode>General</c:formatCode>
                <c:ptCount val="2"/>
              </c:numCache>
            </c:numRef>
          </c:xVal>
          <c:yVal>
            <c:numRef>
              <c:f>Discard!OBS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6C5-44C7-8522-0BE04BC157EB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dash"/>
            <c:size val="7"/>
            <c:spPr>
              <a:solidFill>
                <a:srgbClr val="0070C0"/>
              </a:solidFill>
            </c:spPr>
          </c:marker>
          <c:xVal>
            <c:numRef>
              <c:f>Discard!Yr</c:f>
              <c:numCache>
                <c:formatCode>General</c:formatCode>
                <c:ptCount val="2"/>
              </c:numCache>
            </c:numRef>
          </c:xVal>
          <c:yVal>
            <c:numRef>
              <c:f>Discard!se2_low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6C5-44C7-8522-0BE04BC157EB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dash"/>
            <c:size val="7"/>
          </c:marker>
          <c:xVal>
            <c:numRef>
              <c:f>Discard!Yr</c:f>
              <c:numCache>
                <c:formatCode>General</c:formatCode>
                <c:ptCount val="2"/>
              </c:numCache>
            </c:numRef>
          </c:xVal>
          <c:yVal>
            <c:numRef>
              <c:f>Discard!se2_hi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6C5-44C7-8522-0BE04BC157EB}"/>
            </c:ext>
          </c:extLst>
        </c:ser>
        <c:ser>
          <c:idx val="4"/>
          <c:order val="4"/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Discard!Yr</c:f>
              <c:numCache>
                <c:formatCode>General</c:formatCode>
                <c:ptCount val="2"/>
              </c:numCache>
            </c:numRef>
          </c:xVal>
          <c:yVal>
            <c:numRef>
              <c:f>Discard!Exp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6C5-44C7-8522-0BE04BC157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134592"/>
        <c:axId val="153136128"/>
      </c:scatterChart>
      <c:valAx>
        <c:axId val="153134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3136128"/>
        <c:crosses val="autoZero"/>
        <c:crossBetween val="midCat"/>
      </c:valAx>
      <c:valAx>
        <c:axId val="1531361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53134592"/>
        <c:crosses val="autoZero"/>
        <c:crossBetween val="midCat"/>
      </c:valAx>
    </c:plotArea>
    <c:plotVisOnly val="1"/>
    <c:dispBlanksAs val="gap"/>
    <c:showDLblsOverMax val="0"/>
  </c:chart>
  <c:printSettings>
    <c:headerFooter alignWithMargins="0"/>
    <c:pageMargins b="1" l="0.75000000000000455" r="0.75000000000000455" t="1" header="0.5" footer="0.5"/>
    <c:pageSetup orientation="landscape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Body Wt.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BODYWT!$P$4</c:f>
              <c:strCache>
                <c:ptCount val="1"/>
                <c:pt idx="0">
                  <c:v>delete_OBS</c:v>
                </c:pt>
              </c:strCache>
            </c:strRef>
          </c:tx>
          <c:spPr>
            <a:ln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0070C0"/>
                </a:solidFill>
              </a:ln>
            </c:spPr>
          </c:marker>
          <c:xVal>
            <c:numRef>
              <c:f>BODYWT!$B$5:$B$7</c:f>
              <c:numCache>
                <c:formatCode>General</c:formatCode>
                <c:ptCount val="3"/>
              </c:numCache>
            </c:numRef>
          </c:xVal>
          <c:yVal>
            <c:numRef>
              <c:f>BODYWT!$P$5:$P$7</c:f>
              <c:numCache>
                <c:formatCode>General</c:formatCode>
                <c:ptCount val="3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2C-4922-A62E-F6CB23C31C15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</c:spPr>
          </c:marker>
          <c:xVal>
            <c:numRef>
              <c:f>BODYWT!Yr</c:f>
              <c:numCache>
                <c:formatCode>General</c:formatCode>
                <c:ptCount val="1"/>
              </c:numCache>
            </c:numRef>
          </c:xVal>
          <c:yVal>
            <c:numRef>
              <c:f>BODYWT!OBS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92C-4922-A62E-F6CB23C31C15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dash"/>
            <c:size val="7"/>
            <c:spPr>
              <a:solidFill>
                <a:srgbClr val="0070C0"/>
              </a:solidFill>
            </c:spPr>
          </c:marker>
          <c:xVal>
            <c:numRef>
              <c:f>BODYWT!Yr</c:f>
              <c:numCache>
                <c:formatCode>General</c:formatCode>
                <c:ptCount val="1"/>
              </c:numCache>
            </c:numRef>
          </c:xVal>
          <c:yVal>
            <c:numRef>
              <c:f>BODYWT!se2_low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2C-4922-A62E-F6CB23C31C15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dash"/>
            <c:size val="7"/>
          </c:marker>
          <c:xVal>
            <c:numRef>
              <c:f>BODYWT!Yr</c:f>
              <c:numCache>
                <c:formatCode>General</c:formatCode>
                <c:ptCount val="1"/>
              </c:numCache>
            </c:numRef>
          </c:xVal>
          <c:yVal>
            <c:numRef>
              <c:f>BODYWT!se2_hi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92C-4922-A62E-F6CB23C31C15}"/>
            </c:ext>
          </c:extLst>
        </c:ser>
        <c:ser>
          <c:idx val="4"/>
          <c:order val="4"/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BODYWT!Yr</c:f>
              <c:numCache>
                <c:formatCode>General</c:formatCode>
                <c:ptCount val="1"/>
              </c:numCache>
            </c:numRef>
          </c:xVal>
          <c:yVal>
            <c:numRef>
              <c:f>BODYWT!Exp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92C-4922-A62E-F6CB23C31C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217664"/>
        <c:axId val="153223552"/>
      </c:scatterChart>
      <c:valAx>
        <c:axId val="153217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3223552"/>
        <c:crosses val="autoZero"/>
        <c:crossBetween val="midCat"/>
      </c:valAx>
      <c:valAx>
        <c:axId val="1532235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53217664"/>
        <c:crosses val="autoZero"/>
        <c:crossBetween val="midCat"/>
      </c:valAx>
    </c:plotArea>
    <c:plotVisOnly val="1"/>
    <c:dispBlanksAs val="gap"/>
    <c:showDLblsOverMax val="0"/>
  </c:chart>
  <c:printSettings>
    <c:headerFooter alignWithMargins="0"/>
    <c:pageMargins b="1" l="0.75000000000000477" r="0.75000000000000477" t="1" header="0.5" footer="0.5"/>
    <c:pageSetup orientation="landscape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60307827763615"/>
          <c:y val="4.3411625037253432E-2"/>
          <c:w val="0.78981850198661241"/>
          <c:h val="0.82958592670497511"/>
        </c:manualLayout>
      </c:layout>
      <c:scatterChart>
        <c:scatterStyle val="lineMarker"/>
        <c:varyColors val="0"/>
        <c:ser>
          <c:idx val="1"/>
          <c:order val="1"/>
          <c:tx>
            <c:v>Apical_F</c:v>
          </c:tx>
          <c:marker>
            <c:symbol val="none"/>
          </c:marker>
          <c:xVal>
            <c:numRef>
              <c:f>Annual_F!Year</c:f>
              <c:numCache>
                <c:formatCode>General</c:formatCode>
                <c:ptCount val="2"/>
                <c:pt idx="0">
                  <c:v>1963</c:v>
                </c:pt>
                <c:pt idx="1">
                  <c:v>1964</c:v>
                </c:pt>
              </c:numCache>
            </c:numRef>
          </c:xVal>
          <c:yVal>
            <c:numRef>
              <c:f>Annual_F!Apical_F</c:f>
              <c:numCache>
                <c:formatCode>0.00</c:formatCode>
                <c:ptCount val="2"/>
                <c:pt idx="0">
                  <c:v>0.18984799999999999</c:v>
                </c:pt>
                <c:pt idx="1">
                  <c:v>0.239395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C0-4F68-B33A-AAD421BCCC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505152"/>
        <c:axId val="153511040"/>
      </c:scatterChart>
      <c:scatterChart>
        <c:scatterStyle val="lineMarker"/>
        <c:varyColors val="0"/>
        <c:ser>
          <c:idx val="0"/>
          <c:order val="0"/>
          <c:tx>
            <c:v>Ave_F</c:v>
          </c:tx>
          <c:marker>
            <c:symbol val="none"/>
          </c:marker>
          <c:xVal>
            <c:numRef>
              <c:f>Annual_F!Year</c:f>
              <c:numCache>
                <c:formatCode>General</c:formatCode>
                <c:ptCount val="2"/>
                <c:pt idx="0">
                  <c:v>1963</c:v>
                </c:pt>
                <c:pt idx="1">
                  <c:v>1964</c:v>
                </c:pt>
              </c:numCache>
            </c:numRef>
          </c:xVal>
          <c:yVal>
            <c:numRef>
              <c:f>Annual_F!Ave_F</c:f>
              <c:numCache>
                <c:formatCode>0.00</c:formatCode>
                <c:ptCount val="2"/>
                <c:pt idx="0">
                  <c:v>0.16844583333333332</c:v>
                </c:pt>
                <c:pt idx="1">
                  <c:v>0.21240699999999998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4C0-4F68-B33A-AAD421BCCC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518464"/>
        <c:axId val="153512576"/>
      </c:scatterChart>
      <c:valAx>
        <c:axId val="153505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3511040"/>
        <c:crosses val="autoZero"/>
        <c:crossBetween val="midCat"/>
      </c:valAx>
      <c:valAx>
        <c:axId val="153511040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crossAx val="153505152"/>
        <c:crosses val="autoZero"/>
        <c:crossBetween val="midCat"/>
      </c:valAx>
      <c:valAx>
        <c:axId val="1535125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crossAx val="153518464"/>
        <c:crosses val="max"/>
        <c:crossBetween val="midCat"/>
      </c:valAx>
      <c:valAx>
        <c:axId val="153518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535125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833865512032"/>
          <c:y val="6.1748004325091234E-2"/>
          <c:w val="0.18181185950482359"/>
          <c:h val="0.141410900904673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82174103237124"/>
          <c:y val="5.1400554097404488E-2"/>
          <c:w val="0.73492585301838254"/>
          <c:h val="0.79822506561679785"/>
        </c:manualLayout>
      </c:layout>
      <c:scatterChart>
        <c:scatterStyle val="lineMarker"/>
        <c:varyColors val="0"/>
        <c:ser>
          <c:idx val="0"/>
          <c:order val="0"/>
          <c:tx>
            <c:strRef>
              <c:f>Annual!$H$8</c:f>
              <c:strCache>
                <c:ptCount val="1"/>
                <c:pt idx="0">
                  <c:v>SPR_std</c:v>
                </c:pt>
              </c:strCache>
            </c:strRef>
          </c:tx>
          <c:marker>
            <c:symbol val="none"/>
          </c:marker>
          <c:xVal>
            <c:numRef>
              <c:f>Annual!Year</c:f>
              <c:numCache>
                <c:formatCode>General</c:formatCode>
                <c:ptCount val="2"/>
                <c:pt idx="0">
                  <c:v>1963</c:v>
                </c:pt>
                <c:pt idx="1">
                  <c:v>1964</c:v>
                </c:pt>
              </c:numCache>
            </c:numRef>
          </c:xVal>
          <c:yVal>
            <c:numRef>
              <c:f>Annual!SPR_std</c:f>
              <c:numCache>
                <c:formatCode>General</c:formatCode>
                <c:ptCount val="2"/>
                <c:pt idx="1">
                  <c:v>0.88919300000000001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DD-4ED3-8F86-1678F1090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528192"/>
        <c:axId val="153529728"/>
      </c:scatterChart>
      <c:scatterChart>
        <c:scatterStyle val="lineMarker"/>
        <c:varyColors val="0"/>
        <c:ser>
          <c:idx val="1"/>
          <c:order val="1"/>
          <c:tx>
            <c:strRef>
              <c:f>Annual!$L$8</c:f>
              <c:strCache>
                <c:ptCount val="1"/>
                <c:pt idx="0">
                  <c:v>F_std</c:v>
                </c:pt>
              </c:strCache>
            </c:strRef>
          </c:tx>
          <c:marker>
            <c:symbol val="none"/>
          </c:marker>
          <c:xVal>
            <c:numRef>
              <c:f>Annual!Year</c:f>
              <c:numCache>
                <c:formatCode>General</c:formatCode>
                <c:ptCount val="2"/>
                <c:pt idx="0">
                  <c:v>1963</c:v>
                </c:pt>
                <c:pt idx="1">
                  <c:v>1964</c:v>
                </c:pt>
              </c:numCache>
            </c:numRef>
          </c:xVal>
          <c:yVal>
            <c:numRef>
              <c:f>Annual!F_std</c:f>
              <c:numCache>
                <c:formatCode>General</c:formatCode>
                <c:ptCount val="2"/>
                <c:pt idx="1">
                  <c:v>0.15339700000000001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4DD-4ED3-8F86-1678F1090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537152"/>
        <c:axId val="153535616"/>
      </c:scatterChart>
      <c:valAx>
        <c:axId val="153528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3529728"/>
        <c:crosses val="autoZero"/>
        <c:crossBetween val="midCat"/>
      </c:valAx>
      <c:valAx>
        <c:axId val="153529728"/>
        <c:scaling>
          <c:orientation val="minMax"/>
        </c:scaling>
        <c:delete val="0"/>
        <c:axPos val="l"/>
        <c:numFmt formatCode="#,##0.00" sourceLinked="0"/>
        <c:majorTickMark val="out"/>
        <c:minorTickMark val="none"/>
        <c:tickLblPos val="nextTo"/>
        <c:crossAx val="153528192"/>
        <c:crosses val="autoZero"/>
        <c:crossBetween val="midCat"/>
      </c:valAx>
      <c:valAx>
        <c:axId val="153535616"/>
        <c:scaling>
          <c:orientation val="minMax"/>
        </c:scaling>
        <c:delete val="0"/>
        <c:axPos val="r"/>
        <c:numFmt formatCode="#,##0.00" sourceLinked="0"/>
        <c:majorTickMark val="out"/>
        <c:minorTickMark val="none"/>
        <c:tickLblPos val="nextTo"/>
        <c:crossAx val="153537152"/>
        <c:crosses val="max"/>
        <c:crossBetween val="midCat"/>
      </c:valAx>
      <c:valAx>
        <c:axId val="1535371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535356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938333065363595"/>
          <c:y val="9.6838178246587095E-2"/>
          <c:w val="0.2981344354097743"/>
          <c:h val="0.22780567523399187"/>
        </c:manualLayout>
      </c:layout>
      <c:overlay val="0"/>
    </c:legend>
    <c:plotVisOnly val="1"/>
    <c:dispBlanksAs val="gap"/>
    <c:showDLblsOverMax val="0"/>
  </c:chart>
  <c:printSettings>
    <c:headerFooter/>
    <c:pageMargins b="0.75000000000000344" l="0.70000000000000062" r="0.70000000000000062" t="0.75000000000000344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6" Type="http://schemas.openxmlformats.org/officeDocument/2006/relationships/chart" Target="../charts/chart15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3714750</xdr:colOff>
      <xdr:row>2</xdr:row>
      <xdr:rowOff>130968</xdr:rowOff>
    </xdr:to>
    <xdr:sp macro="" textlink="">
      <xdr:nvSpPr>
        <xdr:cNvPr id="2" name="TextBox 1"/>
        <xdr:cNvSpPr txBox="1"/>
      </xdr:nvSpPr>
      <xdr:spPr>
        <a:xfrm>
          <a:off x="0" y="0"/>
          <a:ext cx="3714750" cy="511968"/>
        </a:xfrm>
        <a:prstGeom prst="rect">
          <a:avLst/>
        </a:prstGeom>
        <a:solidFill>
          <a:srgbClr val="FF9966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/>
            <a:t>error message will display if more than 32,000 records are copied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38100</xdr:rowOff>
        </xdr:from>
        <xdr:to>
          <xdr:col>3</xdr:col>
          <xdr:colOff>266700</xdr:colOff>
          <xdr:row>2</xdr:row>
          <xdr:rowOff>123825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Filtered Rows to Agecomp Display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3</xdr:row>
          <xdr:rowOff>9525</xdr:rowOff>
        </xdr:from>
        <xdr:to>
          <xdr:col>3</xdr:col>
          <xdr:colOff>0</xdr:colOff>
          <xdr:row>6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REPORT.SSO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10</xdr:row>
          <xdr:rowOff>114300</xdr:rowOff>
        </xdr:from>
        <xdr:to>
          <xdr:col>3</xdr:col>
          <xdr:colOff>28575</xdr:colOff>
          <xdr:row>13</xdr:row>
          <xdr:rowOff>66675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Parse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REPORT.SSO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16</xdr:row>
          <xdr:rowOff>114300</xdr:rowOff>
        </xdr:from>
        <xdr:to>
          <xdr:col>3</xdr:col>
          <xdr:colOff>9525</xdr:colOff>
          <xdr:row>19</xdr:row>
          <xdr:rowOff>9525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CompReport.SSO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24</xdr:row>
          <xdr:rowOff>9525</xdr:rowOff>
        </xdr:from>
        <xdr:to>
          <xdr:col>3</xdr:col>
          <xdr:colOff>9525</xdr:colOff>
          <xdr:row>26</xdr:row>
          <xdr:rowOff>161925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Clean_Up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38100</xdr:rowOff>
    </xdr:from>
    <xdr:to>
      <xdr:col>7</xdr:col>
      <xdr:colOff>171450</xdr:colOff>
      <xdr:row>0</xdr:row>
      <xdr:rowOff>2581275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15</xdr:col>
      <xdr:colOff>152400</xdr:colOff>
      <xdr:row>0</xdr:row>
      <xdr:rowOff>2543175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0</xdr:rowOff>
    </xdr:from>
    <xdr:to>
      <xdr:col>5</xdr:col>
      <xdr:colOff>0</xdr:colOff>
      <xdr:row>1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9</xdr:col>
      <xdr:colOff>590549</xdr:colOff>
      <xdr:row>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</xdr:row>
      <xdr:rowOff>0</xdr:rowOff>
    </xdr:from>
    <xdr:to>
      <xdr:col>4</xdr:col>
      <xdr:colOff>590549</xdr:colOff>
      <xdr:row>1</xdr:row>
      <xdr:rowOff>1514475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1</xdr:row>
      <xdr:rowOff>0</xdr:rowOff>
    </xdr:from>
    <xdr:to>
      <xdr:col>9</xdr:col>
      <xdr:colOff>590549</xdr:colOff>
      <xdr:row>1</xdr:row>
      <xdr:rowOff>1514475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1</xdr:rowOff>
    </xdr:from>
    <xdr:to>
      <xdr:col>6</xdr:col>
      <xdr:colOff>508000</xdr:colOff>
      <xdr:row>0</xdr:row>
      <xdr:rowOff>2667001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0</xdr:row>
      <xdr:rowOff>21167</xdr:rowOff>
    </xdr:from>
    <xdr:to>
      <xdr:col>13</xdr:col>
      <xdr:colOff>411692</xdr:colOff>
      <xdr:row>0</xdr:row>
      <xdr:rowOff>2628901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</xdr:row>
      <xdr:rowOff>0</xdr:rowOff>
    </xdr:from>
    <xdr:to>
      <xdr:col>15</xdr:col>
      <xdr:colOff>57150</xdr:colOff>
      <xdr:row>1</xdr:row>
      <xdr:rowOff>4724400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590550</xdr:colOff>
      <xdr:row>0</xdr:row>
      <xdr:rowOff>2076450</xdr:rowOff>
    </xdr:from>
    <xdr:to>
      <xdr:col>41</xdr:col>
      <xdr:colOff>95250</xdr:colOff>
      <xdr:row>1</xdr:row>
      <xdr:rowOff>2076450</xdr:rowOff>
    </xdr:to>
    <xdr:graphicFrame macro="">
      <xdr:nvGraphicFramePr>
        <xdr:cNvPr id="3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19050</xdr:colOff>
      <xdr:row>0</xdr:row>
      <xdr:rowOff>0</xdr:rowOff>
    </xdr:from>
    <xdr:to>
      <xdr:col>22</xdr:col>
      <xdr:colOff>590550</xdr:colOff>
      <xdr:row>1</xdr:row>
      <xdr:rowOff>0</xdr:rowOff>
    </xdr:to>
    <xdr:graphicFrame macro="">
      <xdr:nvGraphicFramePr>
        <xdr:cNvPr id="4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</xdr:row>
      <xdr:rowOff>0</xdr:rowOff>
    </xdr:from>
    <xdr:to>
      <xdr:col>23</xdr:col>
      <xdr:colOff>0</xdr:colOff>
      <xdr:row>2</xdr:row>
      <xdr:rowOff>0</xdr:rowOff>
    </xdr:to>
    <xdr:graphicFrame macro="">
      <xdr:nvGraphicFramePr>
        <xdr:cNvPr id="5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10</xdr:col>
      <xdr:colOff>0</xdr:colOff>
      <xdr:row>1</xdr:row>
      <xdr:rowOff>0</xdr:rowOff>
    </xdr:to>
    <xdr:graphicFrame macro="">
      <xdr:nvGraphicFramePr>
        <xdr:cNvPr id="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</xdr:row>
      <xdr:rowOff>0</xdr:rowOff>
    </xdr:from>
    <xdr:to>
      <xdr:col>10</xdr:col>
      <xdr:colOff>0</xdr:colOff>
      <xdr:row>2</xdr:row>
      <xdr:rowOff>0</xdr:rowOff>
    </xdr:to>
    <xdr:graphicFrame macro="">
      <xdr:nvGraphicFramePr>
        <xdr:cNvPr id="8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29</xdr:col>
      <xdr:colOff>95250</xdr:colOff>
      <xdr:row>1</xdr:row>
      <xdr:rowOff>2317750</xdr:rowOff>
    </xdr:from>
    <xdr:to>
      <xdr:col>46</xdr:col>
      <xdr:colOff>234950</xdr:colOff>
      <xdr:row>29</xdr:row>
      <xdr:rowOff>0</xdr:rowOff>
    </xdr:to>
    <xdr:graphicFrame macro="">
      <xdr:nvGraphicFramePr>
        <xdr:cNvPr id="7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0.16823</cdr:x>
      <cdr:y>0.98186</cdr:y>
    </cdr:from>
    <cdr:to>
      <cdr:x>0.30183</cdr:x>
      <cdr:y>0.98381</cdr:y>
    </cdr:to>
    <cdr:sp macro="" textlink="">
      <cdr:nvSpPr>
        <cdr:cNvPr id="307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546289" y="4052679"/>
          <a:ext cx="1225439" cy="805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solid means obs &lt; exp</a:t>
          </a:r>
        </a:p>
      </cdr:txBody>
    </cdr:sp>
  </cdr:relSizeAnchor>
  <cdr:relSizeAnchor xmlns:cdr="http://schemas.openxmlformats.org/drawingml/2006/chartDrawing">
    <cdr:from>
      <cdr:x>0.16823</cdr:x>
      <cdr:y>0.97478</cdr:y>
    </cdr:from>
    <cdr:to>
      <cdr:x>0.31964</cdr:x>
      <cdr:y>0.9782</cdr:y>
    </cdr:to>
    <cdr:sp macro="" textlink="">
      <cdr:nvSpPr>
        <cdr:cNvPr id="3074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546289" y="4023468"/>
          <a:ext cx="1388831" cy="141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Scaling:  residual=1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0.16823</cdr:x>
      <cdr:y>0.98186</cdr:y>
    </cdr:from>
    <cdr:to>
      <cdr:x>0.30183</cdr:x>
      <cdr:y>0.98381</cdr:y>
    </cdr:to>
    <cdr:sp macro="" textlink="">
      <cdr:nvSpPr>
        <cdr:cNvPr id="307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546289" y="4052679"/>
          <a:ext cx="1225439" cy="805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solid means obs &lt; exp</a:t>
          </a:r>
        </a:p>
      </cdr:txBody>
    </cdr:sp>
  </cdr:relSizeAnchor>
  <cdr:relSizeAnchor xmlns:cdr="http://schemas.openxmlformats.org/drawingml/2006/chartDrawing">
    <cdr:from>
      <cdr:x>0.16823</cdr:x>
      <cdr:y>0.97478</cdr:y>
    </cdr:from>
    <cdr:to>
      <cdr:x>0.31964</cdr:x>
      <cdr:y>0.9782</cdr:y>
    </cdr:to>
    <cdr:sp macro="" textlink="">
      <cdr:nvSpPr>
        <cdr:cNvPr id="3074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546289" y="4023468"/>
          <a:ext cx="1388831" cy="141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Scaling:  residual=1</a:t>
          </a: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495300</xdr:colOff>
      <xdr:row>0</xdr:row>
      <xdr:rowOff>123825</xdr:rowOff>
    </xdr:from>
    <xdr:to>
      <xdr:col>21</xdr:col>
      <xdr:colOff>228600</xdr:colOff>
      <xdr:row>35</xdr:row>
      <xdr:rowOff>76200</xdr:rowOff>
    </xdr:to>
    <xdr:graphicFrame macro="">
      <xdr:nvGraphicFramePr>
        <xdr:cNvPr id="2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0</xdr:row>
          <xdr:rowOff>180975</xdr:rowOff>
        </xdr:from>
        <xdr:to>
          <xdr:col>8</xdr:col>
          <xdr:colOff>323850</xdr:colOff>
          <xdr:row>3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Filtered Range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to Len_Sel_D(isplay)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0</xdr:colOff>
      <xdr:row>1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9525</xdr:rowOff>
        </xdr:from>
        <xdr:to>
          <xdr:col>8</xdr:col>
          <xdr:colOff>28575</xdr:colOff>
          <xdr:row>2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Filtered Range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to Age_Sel_D(isplay)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590550</xdr:colOff>
      <xdr:row>1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0</xdr:row>
      <xdr:rowOff>276225</xdr:rowOff>
    </xdr:from>
    <xdr:to>
      <xdr:col>10</xdr:col>
      <xdr:colOff>257175</xdr:colOff>
      <xdr:row>0</xdr:row>
      <xdr:rowOff>3019425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228600</xdr:colOff>
      <xdr:row>0</xdr:row>
      <xdr:rowOff>247650</xdr:rowOff>
    </xdr:from>
    <xdr:to>
      <xdr:col>9</xdr:col>
      <xdr:colOff>533400</xdr:colOff>
      <xdr:row>0</xdr:row>
      <xdr:rowOff>2990850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19049</xdr:colOff>
      <xdr:row>0</xdr:row>
      <xdr:rowOff>28575</xdr:rowOff>
    </xdr:from>
    <xdr:to>
      <xdr:col>8</xdr:col>
      <xdr:colOff>238124</xdr:colOff>
      <xdr:row>0</xdr:row>
      <xdr:rowOff>3276599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266700</xdr:colOff>
      <xdr:row>0</xdr:row>
      <xdr:rowOff>28575</xdr:rowOff>
    </xdr:from>
    <xdr:to>
      <xdr:col>15</xdr:col>
      <xdr:colOff>371475</xdr:colOff>
      <xdr:row>0</xdr:row>
      <xdr:rowOff>3286125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1</xdr:row>
          <xdr:rowOff>28575</xdr:rowOff>
        </xdr:from>
        <xdr:to>
          <xdr:col>6</xdr:col>
          <xdr:colOff>85725</xdr:colOff>
          <xdr:row>3</xdr:row>
          <xdr:rowOff>19050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Process Table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ompReport" adjustColumnWidth="0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Report_1" growShrinkType="overwriteClear" adjustColumnWidth="0" connectionId="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7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AK29"/>
  <sheetViews>
    <sheetView zoomScale="80" zoomScaleNormal="80" workbookViewId="0"/>
  </sheetViews>
  <sheetFormatPr defaultRowHeight="15" x14ac:dyDescent="0.25"/>
  <cols>
    <col min="1" max="1" width="27.42578125" customWidth="1"/>
    <col min="2" max="2" width="20" customWidth="1"/>
    <col min="3" max="3" width="7.7109375" customWidth="1"/>
    <col min="4" max="4" width="6" customWidth="1"/>
    <col min="5" max="5" width="11.85546875" bestFit="1" customWidth="1"/>
    <col min="6" max="6" width="11" bestFit="1" customWidth="1"/>
    <col min="7" max="7" width="10.140625" bestFit="1" customWidth="1"/>
    <col min="8" max="8" width="7.42578125" customWidth="1"/>
    <col min="9" max="9" width="7.5703125" customWidth="1"/>
    <col min="10" max="10" width="8.7109375" customWidth="1"/>
    <col min="11" max="11" width="7.42578125" customWidth="1"/>
    <col min="12" max="12" width="6" customWidth="1"/>
    <col min="13" max="13" width="9" customWidth="1"/>
    <col min="14" max="14" width="12" bestFit="1" customWidth="1"/>
    <col min="15" max="15" width="12.7109375" bestFit="1" customWidth="1"/>
    <col min="16" max="17" width="8" customWidth="1"/>
    <col min="18" max="18" width="12.7109375" bestFit="1" customWidth="1"/>
    <col min="20" max="20" width="12" bestFit="1" customWidth="1"/>
    <col min="21" max="1028" width="6" customWidth="1"/>
  </cols>
  <sheetData>
    <row r="2" spans="1:37" x14ac:dyDescent="0.25">
      <c r="F2" s="18" t="s">
        <v>289</v>
      </c>
    </row>
    <row r="4" spans="1:37" x14ac:dyDescent="0.25">
      <c r="A4" t="s">
        <v>333</v>
      </c>
    </row>
    <row r="5" spans="1:37" x14ac:dyDescent="0.25">
      <c r="A5" t="s">
        <v>334</v>
      </c>
      <c r="E5" s="7"/>
    </row>
    <row r="6" spans="1:37" x14ac:dyDescent="0.25">
      <c r="A6" t="s">
        <v>204</v>
      </c>
      <c r="B6" t="s">
        <v>348</v>
      </c>
      <c r="C6" t="s">
        <v>349</v>
      </c>
      <c r="D6">
        <v>5</v>
      </c>
      <c r="E6" s="7">
        <v>0.54234953703703703</v>
      </c>
      <c r="F6">
        <v>2016</v>
      </c>
      <c r="J6" s="7"/>
    </row>
    <row r="8" spans="1:37" x14ac:dyDescent="0.25">
      <c r="A8" t="s">
        <v>305</v>
      </c>
    </row>
    <row r="9" spans="1:37" x14ac:dyDescent="0.25">
      <c r="A9" t="s">
        <v>179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  <c r="X9">
        <v>23</v>
      </c>
      <c r="Y9">
        <v>24</v>
      </c>
      <c r="Z9">
        <v>25</v>
      </c>
      <c r="AA9">
        <v>26</v>
      </c>
      <c r="AB9">
        <v>27</v>
      </c>
      <c r="AC9">
        <v>28</v>
      </c>
      <c r="AD9">
        <v>29</v>
      </c>
      <c r="AE9">
        <v>30</v>
      </c>
      <c r="AF9">
        <v>31</v>
      </c>
      <c r="AG9">
        <v>32</v>
      </c>
      <c r="AH9">
        <v>33</v>
      </c>
      <c r="AI9">
        <v>34</v>
      </c>
      <c r="AJ9">
        <v>35</v>
      </c>
      <c r="AK9">
        <v>36</v>
      </c>
    </row>
    <row r="10" spans="1:37" x14ac:dyDescent="0.25">
      <c r="A10" t="s">
        <v>52</v>
      </c>
      <c r="B10">
        <v>0.5</v>
      </c>
      <c r="C10">
        <v>1.5</v>
      </c>
      <c r="D10">
        <v>2.5</v>
      </c>
      <c r="E10">
        <v>3.5</v>
      </c>
      <c r="F10">
        <v>4.5</v>
      </c>
      <c r="G10">
        <v>5.5</v>
      </c>
      <c r="H10">
        <v>6.5</v>
      </c>
      <c r="I10">
        <v>7.5</v>
      </c>
      <c r="J10">
        <v>8.5</v>
      </c>
      <c r="K10">
        <v>9.5</v>
      </c>
      <c r="L10">
        <v>10.5</v>
      </c>
      <c r="M10">
        <v>11.5</v>
      </c>
      <c r="N10">
        <v>12.5</v>
      </c>
      <c r="O10">
        <v>13.5</v>
      </c>
      <c r="P10">
        <v>14.5</v>
      </c>
      <c r="Q10">
        <v>15.5</v>
      </c>
      <c r="R10">
        <v>16.5</v>
      </c>
      <c r="S10">
        <v>17.5</v>
      </c>
      <c r="T10">
        <v>18.5</v>
      </c>
      <c r="U10">
        <v>19.5</v>
      </c>
      <c r="V10">
        <v>20.5</v>
      </c>
      <c r="W10">
        <v>21.5</v>
      </c>
      <c r="X10">
        <v>22.5</v>
      </c>
      <c r="Y10">
        <v>23.5</v>
      </c>
      <c r="Z10">
        <v>24.5</v>
      </c>
      <c r="AA10">
        <v>25.5</v>
      </c>
      <c r="AB10">
        <v>26.5</v>
      </c>
      <c r="AC10">
        <v>27.5</v>
      </c>
      <c r="AD10">
        <v>28.5</v>
      </c>
      <c r="AE10">
        <v>29.5</v>
      </c>
      <c r="AF10">
        <v>30.5</v>
      </c>
      <c r="AG10">
        <v>31.5</v>
      </c>
      <c r="AH10">
        <v>32.5</v>
      </c>
      <c r="AI10">
        <v>33.5</v>
      </c>
      <c r="AJ10">
        <v>34.5</v>
      </c>
      <c r="AK10">
        <v>35.5</v>
      </c>
    </row>
    <row r="11" spans="1:37" x14ac:dyDescent="0.25">
      <c r="A11" t="s">
        <v>53</v>
      </c>
      <c r="B11">
        <v>1</v>
      </c>
      <c r="C11">
        <v>2</v>
      </c>
      <c r="D11">
        <v>3</v>
      </c>
      <c r="E11">
        <v>4</v>
      </c>
      <c r="F11">
        <v>5</v>
      </c>
      <c r="G11">
        <v>6</v>
      </c>
      <c r="H11">
        <v>7</v>
      </c>
      <c r="I11">
        <v>8</v>
      </c>
      <c r="J11">
        <v>9</v>
      </c>
      <c r="K11">
        <v>10</v>
      </c>
      <c r="L11">
        <v>11</v>
      </c>
      <c r="M11">
        <v>12</v>
      </c>
      <c r="N11">
        <v>13</v>
      </c>
      <c r="O11">
        <v>14</v>
      </c>
      <c r="P11">
        <v>15</v>
      </c>
      <c r="Q11">
        <v>16</v>
      </c>
      <c r="R11">
        <v>17</v>
      </c>
      <c r="S11">
        <v>18</v>
      </c>
      <c r="T11">
        <v>19</v>
      </c>
      <c r="U11">
        <v>20</v>
      </c>
      <c r="V11">
        <v>21</v>
      </c>
      <c r="W11">
        <v>22</v>
      </c>
      <c r="X11">
        <v>23</v>
      </c>
      <c r="Y11">
        <v>24</v>
      </c>
      <c r="Z11">
        <v>25</v>
      </c>
      <c r="AA11">
        <v>26</v>
      </c>
      <c r="AB11">
        <v>27</v>
      </c>
      <c r="AC11">
        <v>28</v>
      </c>
      <c r="AD11">
        <v>29</v>
      </c>
      <c r="AE11">
        <v>30</v>
      </c>
      <c r="AF11">
        <v>31</v>
      </c>
      <c r="AG11">
        <v>32</v>
      </c>
      <c r="AH11">
        <v>33</v>
      </c>
      <c r="AI11">
        <v>34</v>
      </c>
      <c r="AJ11">
        <v>35</v>
      </c>
      <c r="AK11">
        <v>36</v>
      </c>
    </row>
    <row r="12" spans="1:37" x14ac:dyDescent="0.25">
      <c r="A12" t="s">
        <v>306</v>
      </c>
    </row>
    <row r="13" spans="1:37" x14ac:dyDescent="0.25">
      <c r="A13" t="s">
        <v>180</v>
      </c>
      <c r="B13">
        <v>1</v>
      </c>
      <c r="C13">
        <v>2</v>
      </c>
      <c r="D13">
        <v>3</v>
      </c>
      <c r="E13">
        <v>4</v>
      </c>
      <c r="F13">
        <v>5</v>
      </c>
      <c r="G13">
        <v>6</v>
      </c>
      <c r="H13">
        <v>7</v>
      </c>
      <c r="I13">
        <v>8</v>
      </c>
      <c r="J13">
        <v>9</v>
      </c>
      <c r="K13">
        <v>10</v>
      </c>
      <c r="L13">
        <v>11</v>
      </c>
      <c r="M13">
        <v>12</v>
      </c>
      <c r="N13">
        <v>13</v>
      </c>
      <c r="O13">
        <v>14</v>
      </c>
      <c r="P13">
        <v>15</v>
      </c>
      <c r="Q13">
        <v>16</v>
      </c>
      <c r="R13">
        <v>17</v>
      </c>
      <c r="S13">
        <v>18</v>
      </c>
      <c r="T13">
        <v>19</v>
      </c>
      <c r="U13">
        <v>20</v>
      </c>
      <c r="V13">
        <v>21</v>
      </c>
      <c r="W13">
        <v>22</v>
      </c>
      <c r="X13">
        <v>23</v>
      </c>
      <c r="Y13">
        <v>24</v>
      </c>
      <c r="Z13">
        <v>25</v>
      </c>
      <c r="AA13">
        <v>26</v>
      </c>
      <c r="AB13">
        <v>27</v>
      </c>
      <c r="AC13">
        <v>28</v>
      </c>
      <c r="AD13">
        <v>29</v>
      </c>
      <c r="AE13">
        <v>30</v>
      </c>
      <c r="AF13">
        <v>31</v>
      </c>
      <c r="AG13">
        <v>32</v>
      </c>
    </row>
    <row r="14" spans="1:37" x14ac:dyDescent="0.25">
      <c r="A14" t="s">
        <v>52</v>
      </c>
      <c r="B14">
        <v>4</v>
      </c>
      <c r="C14">
        <v>5</v>
      </c>
      <c r="D14">
        <v>6</v>
      </c>
      <c r="E14">
        <v>7</v>
      </c>
      <c r="F14">
        <v>8</v>
      </c>
      <c r="G14">
        <v>9</v>
      </c>
      <c r="H14">
        <v>10</v>
      </c>
      <c r="I14">
        <v>11</v>
      </c>
      <c r="J14">
        <v>12</v>
      </c>
      <c r="K14">
        <v>13</v>
      </c>
      <c r="L14">
        <v>14</v>
      </c>
      <c r="M14">
        <v>15</v>
      </c>
      <c r="N14">
        <v>16</v>
      </c>
      <c r="O14">
        <v>17</v>
      </c>
      <c r="P14">
        <v>18</v>
      </c>
      <c r="Q14">
        <v>19</v>
      </c>
      <c r="R14">
        <v>20</v>
      </c>
      <c r="S14">
        <v>21</v>
      </c>
      <c r="T14">
        <v>22</v>
      </c>
      <c r="U14">
        <v>23</v>
      </c>
      <c r="V14">
        <v>24</v>
      </c>
      <c r="W14">
        <v>25</v>
      </c>
      <c r="X14">
        <v>26</v>
      </c>
      <c r="Y14">
        <v>27</v>
      </c>
      <c r="Z14">
        <v>28</v>
      </c>
      <c r="AA14">
        <v>29</v>
      </c>
      <c r="AB14">
        <v>30</v>
      </c>
      <c r="AC14">
        <v>31</v>
      </c>
      <c r="AD14">
        <v>32</v>
      </c>
      <c r="AE14">
        <v>33</v>
      </c>
      <c r="AF14">
        <v>34</v>
      </c>
      <c r="AG14">
        <v>35</v>
      </c>
    </row>
    <row r="15" spans="1:37" x14ac:dyDescent="0.25">
      <c r="A15" t="s">
        <v>53</v>
      </c>
      <c r="B15">
        <v>4.5</v>
      </c>
      <c r="C15">
        <v>5.5</v>
      </c>
      <c r="D15">
        <v>6.5</v>
      </c>
      <c r="E15">
        <v>7.5</v>
      </c>
      <c r="F15">
        <v>8.5</v>
      </c>
      <c r="G15">
        <v>9.5</v>
      </c>
      <c r="H15">
        <v>10.5</v>
      </c>
      <c r="I15">
        <v>11.5</v>
      </c>
      <c r="J15">
        <v>12.5</v>
      </c>
      <c r="K15">
        <v>13.5</v>
      </c>
      <c r="L15">
        <v>14.5</v>
      </c>
      <c r="M15">
        <v>15.5</v>
      </c>
      <c r="N15">
        <v>16.5</v>
      </c>
      <c r="O15">
        <v>17.5</v>
      </c>
      <c r="P15">
        <v>18.5</v>
      </c>
      <c r="Q15">
        <v>19.5</v>
      </c>
      <c r="R15">
        <v>20.5</v>
      </c>
      <c r="S15">
        <v>21.5</v>
      </c>
      <c r="T15">
        <v>22.5</v>
      </c>
      <c r="U15">
        <v>23.5</v>
      </c>
      <c r="V15">
        <v>24.5</v>
      </c>
      <c r="W15">
        <v>25.5</v>
      </c>
      <c r="X15">
        <v>26.5</v>
      </c>
      <c r="Y15">
        <v>27.5</v>
      </c>
      <c r="Z15">
        <v>28.5</v>
      </c>
      <c r="AA15">
        <v>29.5</v>
      </c>
      <c r="AB15">
        <v>30.5</v>
      </c>
      <c r="AC15">
        <v>31.5</v>
      </c>
      <c r="AD15">
        <v>32.5</v>
      </c>
      <c r="AE15">
        <v>33.5</v>
      </c>
      <c r="AF15">
        <v>34.5</v>
      </c>
      <c r="AG15">
        <v>35.5</v>
      </c>
    </row>
    <row r="16" spans="1:37" x14ac:dyDescent="0.25">
      <c r="A16" t="s">
        <v>181</v>
      </c>
      <c r="B16">
        <v>0</v>
      </c>
    </row>
    <row r="17" spans="1:23" x14ac:dyDescent="0.25">
      <c r="A17" t="s">
        <v>54</v>
      </c>
      <c r="B17">
        <v>1</v>
      </c>
      <c r="C17" t="s">
        <v>322</v>
      </c>
      <c r="D17">
        <v>1</v>
      </c>
    </row>
    <row r="18" spans="1:23" x14ac:dyDescent="0.25">
      <c r="A18" t="s">
        <v>55</v>
      </c>
      <c r="B18">
        <v>1</v>
      </c>
    </row>
    <row r="19" spans="1:23" x14ac:dyDescent="0.25">
      <c r="A19" t="s">
        <v>307</v>
      </c>
    </row>
    <row r="20" spans="1:23" x14ac:dyDescent="0.25">
      <c r="A20" t="s">
        <v>347</v>
      </c>
    </row>
    <row r="21" spans="1:23" x14ac:dyDescent="0.25">
      <c r="A21" t="s">
        <v>308</v>
      </c>
    </row>
    <row r="22" spans="1:23" x14ac:dyDescent="0.25">
      <c r="A22" t="s">
        <v>309</v>
      </c>
    </row>
    <row r="23" spans="1:23" x14ac:dyDescent="0.25">
      <c r="M23" s="8"/>
      <c r="N23" s="8"/>
      <c r="O23" s="8"/>
      <c r="R23" s="8"/>
      <c r="S23" s="8"/>
      <c r="T23" s="8"/>
    </row>
    <row r="24" spans="1:23" x14ac:dyDescent="0.25">
      <c r="A24" t="s">
        <v>56</v>
      </c>
      <c r="M24" s="8"/>
      <c r="N24" s="8"/>
      <c r="R24" s="8"/>
      <c r="S24" s="8"/>
      <c r="T24" s="8"/>
    </row>
    <row r="25" spans="1:23" x14ac:dyDescent="0.25">
      <c r="A25" t="s">
        <v>3</v>
      </c>
      <c r="B25" t="s">
        <v>2</v>
      </c>
      <c r="C25" t="s">
        <v>318</v>
      </c>
      <c r="D25" t="s">
        <v>0</v>
      </c>
      <c r="E25" t="s">
        <v>13</v>
      </c>
      <c r="F25" t="s">
        <v>14</v>
      </c>
      <c r="G25" t="s">
        <v>15</v>
      </c>
      <c r="H25" t="s">
        <v>16</v>
      </c>
      <c r="I25" t="s">
        <v>9</v>
      </c>
      <c r="J25" t="s">
        <v>1</v>
      </c>
      <c r="K25" t="s">
        <v>10</v>
      </c>
      <c r="L25" t="s">
        <v>11</v>
      </c>
      <c r="M25" s="8" t="s">
        <v>12</v>
      </c>
      <c r="N25" t="s">
        <v>4</v>
      </c>
      <c r="O25" t="s">
        <v>5</v>
      </c>
      <c r="P25" t="s">
        <v>17</v>
      </c>
      <c r="Q25" t="s">
        <v>7</v>
      </c>
      <c r="R25" s="8" t="s">
        <v>8</v>
      </c>
      <c r="S25" s="8" t="s">
        <v>6</v>
      </c>
      <c r="T25" t="s">
        <v>182</v>
      </c>
      <c r="U25" t="s">
        <v>18</v>
      </c>
      <c r="V25" t="s">
        <v>304</v>
      </c>
      <c r="W25" t="s">
        <v>302</v>
      </c>
    </row>
    <row r="26" spans="1:23" x14ac:dyDescent="0.25">
      <c r="A26">
        <v>1964</v>
      </c>
      <c r="B26">
        <v>1</v>
      </c>
      <c r="C26">
        <v>1964.25</v>
      </c>
      <c r="D26">
        <v>1</v>
      </c>
      <c r="E26">
        <v>1</v>
      </c>
      <c r="F26">
        <v>0</v>
      </c>
      <c r="G26" t="s">
        <v>310</v>
      </c>
      <c r="H26">
        <v>0</v>
      </c>
      <c r="I26">
        <v>0</v>
      </c>
      <c r="J26">
        <v>1</v>
      </c>
      <c r="K26">
        <v>1</v>
      </c>
      <c r="L26">
        <v>1</v>
      </c>
      <c r="M26" s="8">
        <v>4</v>
      </c>
      <c r="N26" s="8">
        <v>9.9680999999999996E-5</v>
      </c>
      <c r="O26" s="8">
        <v>1.7359799999999999E-4</v>
      </c>
      <c r="P26" s="8">
        <v>-5.6106100000000002E-3</v>
      </c>
      <c r="Q26">
        <v>1</v>
      </c>
      <c r="R26" s="8">
        <v>2.6674099999999998</v>
      </c>
      <c r="S26" s="8">
        <v>-5.5299800000000002E-5</v>
      </c>
      <c r="T26" s="8">
        <v>9.9680999999999996E-5</v>
      </c>
      <c r="U26" s="8">
        <v>1.7359799999999999E-4</v>
      </c>
      <c r="V26" t="s">
        <v>205</v>
      </c>
      <c r="W26" t="s">
        <v>205</v>
      </c>
    </row>
    <row r="27" spans="1:23" x14ac:dyDescent="0.25">
      <c r="A27">
        <v>1964</v>
      </c>
      <c r="B27">
        <v>1</v>
      </c>
      <c r="C27">
        <v>1964.25</v>
      </c>
      <c r="D27">
        <v>1</v>
      </c>
      <c r="E27">
        <v>1</v>
      </c>
      <c r="F27">
        <v>0</v>
      </c>
      <c r="G27" t="s">
        <v>310</v>
      </c>
      <c r="H27">
        <v>0</v>
      </c>
      <c r="I27">
        <v>0</v>
      </c>
      <c r="J27">
        <v>1</v>
      </c>
      <c r="K27">
        <v>1</v>
      </c>
      <c r="L27">
        <v>1</v>
      </c>
      <c r="M27">
        <v>5</v>
      </c>
      <c r="N27" s="8">
        <v>9.9680999999999996E-5</v>
      </c>
      <c r="O27" s="8">
        <v>2.1810899999999999E-4</v>
      </c>
      <c r="P27" s="8">
        <v>-8.0198100000000005E-3</v>
      </c>
      <c r="Q27">
        <v>1</v>
      </c>
      <c r="R27">
        <v>2.6674099999999998</v>
      </c>
      <c r="S27" s="8">
        <v>-7.8052099999999998E-5</v>
      </c>
      <c r="T27" s="8">
        <v>1.9936199999999999E-4</v>
      </c>
      <c r="U27" s="8">
        <v>3.9170699999999998E-4</v>
      </c>
      <c r="V27" t="s">
        <v>205</v>
      </c>
      <c r="W27" t="s">
        <v>205</v>
      </c>
    </row>
    <row r="28" spans="1:23" x14ac:dyDescent="0.25">
      <c r="A28">
        <v>1964</v>
      </c>
      <c r="B28">
        <v>1</v>
      </c>
      <c r="C28">
        <v>1964.25</v>
      </c>
      <c r="D28">
        <v>1</v>
      </c>
      <c r="E28">
        <v>1</v>
      </c>
      <c r="F28">
        <v>0</v>
      </c>
      <c r="G28" t="s">
        <v>310</v>
      </c>
      <c r="H28">
        <v>0</v>
      </c>
      <c r="I28">
        <v>0</v>
      </c>
      <c r="J28">
        <v>1</v>
      </c>
      <c r="K28">
        <v>1</v>
      </c>
      <c r="L28">
        <v>1</v>
      </c>
      <c r="M28">
        <v>6</v>
      </c>
      <c r="N28" s="8">
        <v>9.9680999999999996E-5</v>
      </c>
      <c r="O28" s="8">
        <v>2.9509499999999999E-4</v>
      </c>
      <c r="P28" s="8">
        <v>-1.13773E-2</v>
      </c>
      <c r="Q28">
        <v>1</v>
      </c>
      <c r="R28">
        <v>2.6674099999999998</v>
      </c>
      <c r="S28" s="8">
        <v>-1.08186E-4</v>
      </c>
      <c r="T28" s="8">
        <v>2.9904299999999998E-4</v>
      </c>
      <c r="U28" s="8">
        <v>6.8680200000000003E-4</v>
      </c>
      <c r="V28" t="s">
        <v>205</v>
      </c>
      <c r="W28" t="s">
        <v>205</v>
      </c>
    </row>
    <row r="29" spans="1:23" x14ac:dyDescent="0.25">
      <c r="A29">
        <v>1964</v>
      </c>
      <c r="B29">
        <v>1</v>
      </c>
      <c r="C29">
        <v>1964.25</v>
      </c>
      <c r="D29">
        <v>1</v>
      </c>
      <c r="E29">
        <v>1</v>
      </c>
      <c r="F29">
        <v>0</v>
      </c>
      <c r="G29" t="s">
        <v>310</v>
      </c>
      <c r="H29">
        <v>0</v>
      </c>
      <c r="I29">
        <v>0</v>
      </c>
      <c r="J29">
        <v>1</v>
      </c>
      <c r="K29">
        <v>1</v>
      </c>
      <c r="L29">
        <v>1</v>
      </c>
      <c r="M29">
        <v>7</v>
      </c>
      <c r="N29" s="8">
        <v>9.9680999999999996E-5</v>
      </c>
      <c r="O29" s="8">
        <v>3.9280400000000002E-4</v>
      </c>
      <c r="P29" s="8">
        <v>-1.4792700000000001E-2</v>
      </c>
      <c r="Q29">
        <v>1</v>
      </c>
      <c r="R29">
        <v>2.6674099999999998</v>
      </c>
      <c r="S29" s="8">
        <v>-1.3669600000000001E-4</v>
      </c>
      <c r="T29" s="8">
        <v>3.9872399999999999E-4</v>
      </c>
      <c r="U29">
        <v>1.0796099999999999E-3</v>
      </c>
      <c r="V29" t="s">
        <v>205</v>
      </c>
      <c r="W29" t="s">
        <v>205</v>
      </c>
    </row>
  </sheetData>
  <hyperlinks>
    <hyperlink ref="F2" location="Main_List" display="Return to Main"/>
  </hyperlink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View_Comp_Data">
                <anchor moveWithCells="1" sizeWithCells="1">
                  <from>
                    <xdr:col>1</xdr:col>
                    <xdr:colOff>0</xdr:colOff>
                    <xdr:row>0</xdr:row>
                    <xdr:rowOff>38100</xdr:rowOff>
                  </from>
                  <to>
                    <xdr:col>3</xdr:col>
                    <xdr:colOff>266700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CJ29"/>
  <sheetViews>
    <sheetView zoomScale="80" zoomScaleNormal="80" workbookViewId="0"/>
  </sheetViews>
  <sheetFormatPr defaultRowHeight="15" x14ac:dyDescent="0.25"/>
  <cols>
    <col min="1" max="1" width="9.140625" style="19"/>
    <col min="2" max="2" width="26.7109375" style="19" customWidth="1"/>
    <col min="3" max="3" width="7" style="19" customWidth="1"/>
    <col min="4" max="16384" width="9.140625" style="19"/>
  </cols>
  <sheetData>
    <row r="1" spans="2:88" x14ac:dyDescent="0.25"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</row>
    <row r="2" spans="2:88" x14ac:dyDescent="0.25"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</row>
    <row r="3" spans="2:88" x14ac:dyDescent="0.25"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</row>
    <row r="4" spans="2:88" x14ac:dyDescent="0.25">
      <c r="E4" s="7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</row>
    <row r="5" spans="2:88" x14ac:dyDescent="0.25">
      <c r="E5" s="7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</row>
    <row r="6" spans="2:88" x14ac:dyDescent="0.25"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</row>
    <row r="7" spans="2:88" x14ac:dyDescent="0.25"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</row>
    <row r="8" spans="2:88" x14ac:dyDescent="0.25"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</row>
    <row r="9" spans="2:88" x14ac:dyDescent="0.25"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</row>
    <row r="10" spans="2:88" x14ac:dyDescent="0.25">
      <c r="B10" s="8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</row>
    <row r="11" spans="2:88" x14ac:dyDescent="0.25">
      <c r="B11" s="8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</row>
    <row r="12" spans="2:88" x14ac:dyDescent="0.25"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</row>
    <row r="13" spans="2:88" x14ac:dyDescent="0.25"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</row>
    <row r="14" spans="2:88" x14ac:dyDescent="0.25"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</row>
    <row r="15" spans="2:88" x14ac:dyDescent="0.25"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</row>
    <row r="16" spans="2:88" x14ac:dyDescent="0.25"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</row>
    <row r="17" spans="48:88" x14ac:dyDescent="0.25"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</row>
    <row r="18" spans="48:88" x14ac:dyDescent="0.25"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</row>
    <row r="19" spans="48:88" x14ac:dyDescent="0.25"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</row>
    <row r="20" spans="48:88" x14ac:dyDescent="0.25"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</row>
    <row r="21" spans="48:88" x14ac:dyDescent="0.25"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</row>
    <row r="22" spans="48:88" x14ac:dyDescent="0.25"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</row>
    <row r="23" spans="48:88" x14ac:dyDescent="0.25"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</row>
    <row r="24" spans="48:88" x14ac:dyDescent="0.25"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</row>
    <row r="25" spans="48:88" x14ac:dyDescent="0.25"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</row>
    <row r="26" spans="48:88" x14ac:dyDescent="0.25"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</row>
    <row r="27" spans="48:88" x14ac:dyDescent="0.25"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</row>
    <row r="28" spans="48:88" x14ac:dyDescent="0.25"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</row>
    <row r="29" spans="48:88" x14ac:dyDescent="0.25"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P25"/>
  <sheetViews>
    <sheetView tabSelected="1" workbookViewId="0"/>
  </sheetViews>
  <sheetFormatPr defaultRowHeight="15" x14ac:dyDescent="0.25"/>
  <sheetData>
    <row r="1" spans="1:16" ht="18.75" x14ac:dyDescent="0.3">
      <c r="H1" s="21" t="s">
        <v>332</v>
      </c>
    </row>
    <row r="3" spans="1:16" ht="23.25" x14ac:dyDescent="0.35">
      <c r="A3" t="s">
        <v>252</v>
      </c>
      <c r="N3" s="17" t="s">
        <v>288</v>
      </c>
      <c r="P3" s="20" t="s">
        <v>312</v>
      </c>
    </row>
    <row r="4" spans="1:16" x14ac:dyDescent="0.25">
      <c r="E4" t="s">
        <v>313</v>
      </c>
    </row>
    <row r="5" spans="1:16" x14ac:dyDescent="0.25">
      <c r="N5" s="16" t="s">
        <v>290</v>
      </c>
    </row>
    <row r="6" spans="1:16" x14ac:dyDescent="0.25">
      <c r="N6" s="16" t="s">
        <v>297</v>
      </c>
    </row>
    <row r="7" spans="1:16" x14ac:dyDescent="0.25">
      <c r="I7" s="22" t="s">
        <v>267</v>
      </c>
      <c r="N7" s="16" t="s">
        <v>298</v>
      </c>
    </row>
    <row r="8" spans="1:16" x14ac:dyDescent="0.25">
      <c r="A8" t="s">
        <v>22</v>
      </c>
    </row>
    <row r="9" spans="1:16" x14ac:dyDescent="0.25">
      <c r="A9" t="s">
        <v>198</v>
      </c>
      <c r="N9" s="16" t="s">
        <v>287</v>
      </c>
    </row>
    <row r="10" spans="1:16" x14ac:dyDescent="0.25">
      <c r="A10" t="s">
        <v>199</v>
      </c>
      <c r="N10" s="16" t="s">
        <v>286</v>
      </c>
    </row>
    <row r="11" spans="1:16" x14ac:dyDescent="0.25">
      <c r="N11" s="16" t="s">
        <v>291</v>
      </c>
    </row>
    <row r="12" spans="1:16" x14ac:dyDescent="0.25">
      <c r="N12" s="16" t="s">
        <v>292</v>
      </c>
    </row>
    <row r="14" spans="1:16" x14ac:dyDescent="0.25">
      <c r="N14" s="16" t="s">
        <v>293</v>
      </c>
    </row>
    <row r="15" spans="1:16" x14ac:dyDescent="0.25">
      <c r="N15" s="16" t="s">
        <v>294</v>
      </c>
    </row>
    <row r="16" spans="1:16" x14ac:dyDescent="0.25">
      <c r="A16" t="s">
        <v>251</v>
      </c>
      <c r="N16" s="16" t="s">
        <v>295</v>
      </c>
    </row>
    <row r="18" spans="1:14" x14ac:dyDescent="0.25">
      <c r="N18" s="16" t="s">
        <v>296</v>
      </c>
    </row>
    <row r="19" spans="1:14" x14ac:dyDescent="0.25">
      <c r="N19" s="16" t="s">
        <v>263</v>
      </c>
    </row>
    <row r="20" spans="1:14" x14ac:dyDescent="0.25">
      <c r="A20" t="s">
        <v>200</v>
      </c>
      <c r="N20" s="16" t="s">
        <v>283</v>
      </c>
    </row>
    <row r="21" spans="1:14" x14ac:dyDescent="0.25">
      <c r="A21" t="s">
        <v>197</v>
      </c>
      <c r="N21" s="16" t="s">
        <v>299</v>
      </c>
    </row>
    <row r="22" spans="1:14" x14ac:dyDescent="0.25">
      <c r="N22" s="16" t="s">
        <v>300</v>
      </c>
    </row>
    <row r="24" spans="1:14" x14ac:dyDescent="0.25">
      <c r="A24" t="s">
        <v>254</v>
      </c>
    </row>
    <row r="25" spans="1:14" x14ac:dyDescent="0.25">
      <c r="E25" t="s">
        <v>311</v>
      </c>
    </row>
  </sheetData>
  <hyperlinks>
    <hyperlink ref="N10" location="put_ageselex" display="AgeSelex_Display"/>
    <hyperlink ref="N9" location="AgeSelex_Raw" display="AgeSelex_Raw"/>
    <hyperlink ref="N5" location="REPORT_SSO!A1" display="Report_SSO"/>
    <hyperlink ref="N6" location="CompReport_SSO!A20" display="Composition_Raw"/>
    <hyperlink ref="N11" location="Len_Sel_A!A1" display="LenSelex_Raw"/>
    <hyperlink ref="N12" location="Len_Sel_D!A1" display="LenSelex_Display"/>
    <hyperlink ref="N14" location="Time_Series!A1" display="Time_Series_Detail"/>
    <hyperlink ref="N15" location="Annual!A1" display="TimeSeries_Annual"/>
    <hyperlink ref="N16" location="SRR!A1" display="Spawn_Recruit"/>
    <hyperlink ref="N18" location="SURVEY!A2" display="SURVEY_CPUE"/>
    <hyperlink ref="N19" location="BIO!A34" display="BIOLOGY"/>
    <hyperlink ref="N7" location="Comp_Disp!A4" display="Composition_Display"/>
    <hyperlink ref="N20" location="Discard!A1" display="Discard"/>
    <hyperlink ref="N21" location="BODYWT!A1" display="BODYWT"/>
    <hyperlink ref="N22" location="Annual_F!A1" display="Annual_F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fresh_Report">
                <anchor moveWithCells="1" sizeWithCells="1">
                  <from>
                    <xdr:col>0</xdr:col>
                    <xdr:colOff>38100</xdr:colOff>
                    <xdr:row>3</xdr:row>
                    <xdr:rowOff>9525</xdr:rowOff>
                  </from>
                  <to>
                    <xdr:col>3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Parse_REPORT_SSO">
                <anchor moveWithCells="1" sizeWithCells="1">
                  <from>
                    <xdr:col>0</xdr:col>
                    <xdr:colOff>19050</xdr:colOff>
                    <xdr:row>10</xdr:row>
                    <xdr:rowOff>114300</xdr:rowOff>
                  </from>
                  <to>
                    <xdr:col>3</xdr:col>
                    <xdr:colOff>28575</xdr:colOff>
                    <xdr:row>13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Refresh_CompReport">
                <anchor moveWithCells="1" sizeWithCells="1">
                  <from>
                    <xdr:col>0</xdr:col>
                    <xdr:colOff>38100</xdr:colOff>
                    <xdr:row>16</xdr:row>
                    <xdr:rowOff>114300</xdr:rowOff>
                  </from>
                  <to>
                    <xdr:col>3</xdr:col>
                    <xdr:colOff>9525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CleanUp">
                <anchor moveWithCells="1" sizeWithCells="1">
                  <from>
                    <xdr:col>0</xdr:col>
                    <xdr:colOff>19050</xdr:colOff>
                    <xdr:row>24</xdr:row>
                    <xdr:rowOff>9525</xdr:rowOff>
                  </from>
                  <to>
                    <xdr:col>3</xdr:col>
                    <xdr:colOff>9525</xdr:colOff>
                    <xdr:row>26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Q5"/>
  <sheetViews>
    <sheetView workbookViewId="0"/>
  </sheetViews>
  <sheetFormatPr defaultRowHeight="15" x14ac:dyDescent="0.25"/>
  <sheetData>
    <row r="1" spans="1:17" ht="210" customHeight="1" x14ac:dyDescent="0.25">
      <c r="Q1" s="18"/>
    </row>
    <row r="2" spans="1:17" x14ac:dyDescent="0.25">
      <c r="A2" s="19" t="s">
        <v>206</v>
      </c>
      <c r="B2" t="s">
        <v>3</v>
      </c>
      <c r="C2" t="s">
        <v>207</v>
      </c>
      <c r="D2" t="s">
        <v>2</v>
      </c>
      <c r="E2" t="s">
        <v>208</v>
      </c>
      <c r="F2" t="s">
        <v>209</v>
      </c>
      <c r="G2" s="19" t="s">
        <v>210</v>
      </c>
      <c r="H2" t="s">
        <v>211</v>
      </c>
    </row>
    <row r="3" spans="1:17" x14ac:dyDescent="0.25">
      <c r="A3" s="19">
        <v>1</v>
      </c>
      <c r="B3">
        <v>1961</v>
      </c>
      <c r="C3" t="s">
        <v>212</v>
      </c>
      <c r="D3">
        <v>1</v>
      </c>
      <c r="E3" s="8">
        <v>2293070</v>
      </c>
      <c r="F3" s="8">
        <v>2293070</v>
      </c>
      <c r="G3" s="19"/>
      <c r="H3">
        <v>0</v>
      </c>
    </row>
    <row r="4" spans="1:17" x14ac:dyDescent="0.25">
      <c r="A4" s="19">
        <v>1</v>
      </c>
      <c r="B4">
        <v>1961</v>
      </c>
      <c r="C4" t="s">
        <v>212</v>
      </c>
      <c r="D4">
        <v>2</v>
      </c>
      <c r="E4" s="8">
        <v>2297650</v>
      </c>
      <c r="F4" s="8">
        <v>2296390</v>
      </c>
      <c r="G4" s="8">
        <v>2232170</v>
      </c>
      <c r="H4" s="8">
        <v>4515940</v>
      </c>
    </row>
    <row r="5" spans="1:17" x14ac:dyDescent="0.25">
      <c r="A5" s="19">
        <v>1</v>
      </c>
      <c r="B5">
        <v>1962</v>
      </c>
      <c r="C5" t="s">
        <v>324</v>
      </c>
      <c r="D5">
        <v>1</v>
      </c>
      <c r="E5" s="8">
        <v>1146620</v>
      </c>
      <c r="F5" s="8">
        <v>1146620</v>
      </c>
      <c r="H5">
        <v>0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Z10"/>
  <sheetViews>
    <sheetView workbookViewId="0"/>
  </sheetViews>
  <sheetFormatPr defaultRowHeight="15" x14ac:dyDescent="0.25"/>
  <sheetData>
    <row r="1" spans="1:26" ht="119.25" customHeight="1" x14ac:dyDescent="0.25"/>
    <row r="2" spans="1:26" ht="120" customHeight="1" x14ac:dyDescent="0.25">
      <c r="L2" s="18"/>
    </row>
    <row r="3" spans="1:26" x14ac:dyDescent="0.25">
      <c r="A3" s="19" t="s">
        <v>216</v>
      </c>
      <c r="B3" s="8">
        <v>4515940</v>
      </c>
      <c r="L3" s="19"/>
      <c r="M3" s="19"/>
      <c r="Q3" s="19"/>
      <c r="R3" s="19"/>
      <c r="S3" s="19"/>
      <c r="T3" s="19"/>
      <c r="U3" s="19"/>
    </row>
    <row r="4" spans="1:26" x14ac:dyDescent="0.25">
      <c r="A4" s="19" t="s">
        <v>217</v>
      </c>
      <c r="L4" s="19"/>
      <c r="M4" s="19"/>
      <c r="Q4" s="19"/>
      <c r="R4" s="19"/>
      <c r="S4" s="19"/>
      <c r="T4" s="19"/>
      <c r="U4" s="19"/>
    </row>
    <row r="5" spans="1:26" x14ac:dyDescent="0.25">
      <c r="A5" s="19" t="s">
        <v>218</v>
      </c>
      <c r="B5">
        <v>1</v>
      </c>
      <c r="C5" t="s">
        <v>219</v>
      </c>
      <c r="D5" t="s">
        <v>330</v>
      </c>
      <c r="L5" s="19"/>
      <c r="M5" s="19"/>
      <c r="Q5" s="19"/>
      <c r="R5" s="19"/>
      <c r="S5" s="19"/>
      <c r="T5" s="19"/>
      <c r="U5" s="19"/>
    </row>
    <row r="6" spans="1:26" x14ac:dyDescent="0.25">
      <c r="A6" s="19" t="s">
        <v>220</v>
      </c>
      <c r="B6">
        <v>1</v>
      </c>
      <c r="C6" t="s">
        <v>219</v>
      </c>
      <c r="D6" t="s">
        <v>352</v>
      </c>
      <c r="L6" s="19"/>
      <c r="M6" s="19"/>
      <c r="Q6" s="19"/>
      <c r="R6" s="19"/>
      <c r="S6" s="19"/>
      <c r="T6" s="19"/>
      <c r="U6" s="19"/>
    </row>
    <row r="7" spans="1:26" x14ac:dyDescent="0.25">
      <c r="A7" s="19" t="s">
        <v>221</v>
      </c>
      <c r="B7">
        <v>3</v>
      </c>
      <c r="C7" t="s">
        <v>219</v>
      </c>
      <c r="D7" t="s">
        <v>351</v>
      </c>
      <c r="L7" s="19"/>
      <c r="M7" s="19"/>
      <c r="Q7" s="19"/>
      <c r="R7" s="19"/>
      <c r="S7" s="19"/>
      <c r="T7" s="19"/>
      <c r="U7" s="19"/>
    </row>
    <row r="8" spans="1:26" x14ac:dyDescent="0.25">
      <c r="A8" s="19" t="s">
        <v>214</v>
      </c>
      <c r="B8" t="s">
        <v>208</v>
      </c>
      <c r="C8" t="s">
        <v>222</v>
      </c>
      <c r="D8" t="s">
        <v>223</v>
      </c>
      <c r="E8" t="s">
        <v>224</v>
      </c>
      <c r="F8" t="s">
        <v>225</v>
      </c>
      <c r="G8" t="s">
        <v>226</v>
      </c>
      <c r="H8" t="s">
        <v>227</v>
      </c>
      <c r="I8" t="s">
        <v>228</v>
      </c>
      <c r="J8" t="s">
        <v>229</v>
      </c>
      <c r="K8" t="s">
        <v>230</v>
      </c>
      <c r="L8" s="19" t="s">
        <v>215</v>
      </c>
      <c r="M8" s="19" t="s">
        <v>231</v>
      </c>
      <c r="N8" t="s">
        <v>208</v>
      </c>
      <c r="O8" t="s">
        <v>222</v>
      </c>
      <c r="P8" t="s">
        <v>278</v>
      </c>
      <c r="Q8" s="19" t="s">
        <v>316</v>
      </c>
      <c r="R8" s="19" t="s">
        <v>232</v>
      </c>
      <c r="S8" s="19" t="s">
        <v>233</v>
      </c>
      <c r="T8" s="19" t="s">
        <v>234</v>
      </c>
      <c r="U8" s="19" t="s">
        <v>317</v>
      </c>
    </row>
    <row r="9" spans="1:26" x14ac:dyDescent="0.25">
      <c r="A9" s="19">
        <v>1963</v>
      </c>
      <c r="B9" s="8">
        <v>2293070</v>
      </c>
      <c r="C9" s="8">
        <v>2293070</v>
      </c>
      <c r="D9" s="8">
        <v>2232170</v>
      </c>
      <c r="E9" s="8">
        <v>2232170</v>
      </c>
      <c r="F9">
        <v>0.49428699999999998</v>
      </c>
      <c r="G9">
        <v>1</v>
      </c>
      <c r="I9">
        <v>0</v>
      </c>
      <c r="J9">
        <v>6.6251499999999997</v>
      </c>
      <c r="K9">
        <v>1.3189900000000001</v>
      </c>
      <c r="L9" s="19"/>
      <c r="M9" s="19" t="s">
        <v>235</v>
      </c>
      <c r="N9" s="8">
        <v>1146620</v>
      </c>
      <c r="O9" s="8">
        <v>1146620</v>
      </c>
      <c r="P9" s="8">
        <v>11465000</v>
      </c>
      <c r="Q9" s="19">
        <v>2.8376800000000002</v>
      </c>
      <c r="R9" s="19">
        <v>0</v>
      </c>
      <c r="S9" s="19">
        <v>0</v>
      </c>
      <c r="T9" s="19">
        <v>0</v>
      </c>
      <c r="U9" s="19">
        <v>0</v>
      </c>
      <c r="W9" s="8"/>
      <c r="X9" s="8"/>
      <c r="Y9" s="8"/>
      <c r="Z9" s="8"/>
    </row>
    <row r="10" spans="1:26" x14ac:dyDescent="0.25">
      <c r="A10" s="19">
        <v>1964</v>
      </c>
      <c r="B10" s="8">
        <v>1156590</v>
      </c>
      <c r="C10" s="8">
        <v>1156590</v>
      </c>
      <c r="D10" s="8">
        <v>2232160</v>
      </c>
      <c r="E10" s="8">
        <v>1155540</v>
      </c>
      <c r="F10">
        <v>0.25588100000000003</v>
      </c>
      <c r="G10">
        <v>0.517679</v>
      </c>
      <c r="H10">
        <v>0.88919300000000001</v>
      </c>
      <c r="I10">
        <v>3.96735E-2</v>
      </c>
      <c r="J10">
        <v>6.6251100000000003</v>
      </c>
      <c r="K10">
        <v>1.47407</v>
      </c>
      <c r="L10" s="19">
        <v>0.15339700000000001</v>
      </c>
      <c r="M10" s="19" t="s">
        <v>235</v>
      </c>
      <c r="N10" s="8">
        <v>1323830</v>
      </c>
      <c r="O10" s="8">
        <v>1323830</v>
      </c>
      <c r="P10" s="8">
        <v>12371600</v>
      </c>
      <c r="Q10" s="19">
        <v>2.9473199999999999</v>
      </c>
      <c r="R10" s="19">
        <v>203071</v>
      </c>
      <c r="S10" s="19">
        <v>203071</v>
      </c>
      <c r="T10" s="19">
        <v>203071</v>
      </c>
      <c r="U10" s="19">
        <v>3.6714500000000001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I17"/>
  <sheetViews>
    <sheetView zoomScale="90" zoomScaleNormal="90" workbookViewId="0"/>
  </sheetViews>
  <sheetFormatPr defaultRowHeight="15" x14ac:dyDescent="0.25"/>
  <sheetData>
    <row r="1" spans="1:9" ht="234" customHeight="1" x14ac:dyDescent="0.25"/>
    <row r="2" spans="1:9" ht="57.75" customHeight="1" x14ac:dyDescent="0.25">
      <c r="H2" s="18"/>
    </row>
    <row r="3" spans="1:9" x14ac:dyDescent="0.25">
      <c r="A3" s="19" t="s">
        <v>213</v>
      </c>
      <c r="B3" t="s">
        <v>236</v>
      </c>
      <c r="C3">
        <v>3</v>
      </c>
      <c r="D3" t="s">
        <v>205</v>
      </c>
      <c r="E3" t="s">
        <v>205</v>
      </c>
      <c r="F3" t="s">
        <v>205</v>
      </c>
      <c r="G3" t="s">
        <v>205</v>
      </c>
      <c r="H3" t="s">
        <v>205</v>
      </c>
      <c r="I3" t="s">
        <v>205</v>
      </c>
    </row>
    <row r="4" spans="1:9" x14ac:dyDescent="0.25">
      <c r="A4" s="19">
        <v>15.3231</v>
      </c>
      <c r="B4" t="s">
        <v>237</v>
      </c>
      <c r="C4" s="8">
        <v>4515940</v>
      </c>
    </row>
    <row r="5" spans="1:9" x14ac:dyDescent="0.25">
      <c r="A5" s="19">
        <v>0.99</v>
      </c>
      <c r="B5" t="s">
        <v>238</v>
      </c>
    </row>
    <row r="6" spans="1:9" x14ac:dyDescent="0.25">
      <c r="A6" s="19">
        <v>0.34200000000000003</v>
      </c>
      <c r="B6" t="s">
        <v>331</v>
      </c>
    </row>
    <row r="7" spans="1:9" x14ac:dyDescent="0.25">
      <c r="A7" s="19">
        <v>0.8468</v>
      </c>
      <c r="B7" t="s">
        <v>268</v>
      </c>
    </row>
    <row r="8" spans="1:9" x14ac:dyDescent="0.25">
      <c r="A8" s="19">
        <v>0</v>
      </c>
      <c r="B8" t="s">
        <v>323</v>
      </c>
    </row>
    <row r="9" spans="1:9" x14ac:dyDescent="0.25">
      <c r="A9" s="19">
        <v>0</v>
      </c>
      <c r="B9" t="s">
        <v>239</v>
      </c>
      <c r="C9" s="8">
        <v>4515940</v>
      </c>
    </row>
    <row r="10" spans="1:9" x14ac:dyDescent="0.25">
      <c r="A10" s="19">
        <v>1964</v>
      </c>
      <c r="B10">
        <v>2008</v>
      </c>
      <c r="C10" t="s">
        <v>269</v>
      </c>
    </row>
    <row r="11" spans="1:9" x14ac:dyDescent="0.25">
      <c r="A11" s="19">
        <v>963</v>
      </c>
      <c r="B11">
        <v>1946</v>
      </c>
      <c r="C11">
        <v>2008</v>
      </c>
      <c r="D11">
        <v>2012</v>
      </c>
      <c r="E11">
        <v>1</v>
      </c>
      <c r="F11" t="s">
        <v>270</v>
      </c>
    </row>
    <row r="12" spans="1:9" x14ac:dyDescent="0.25">
      <c r="A12" s="19" t="s">
        <v>271</v>
      </c>
      <c r="B12" t="s">
        <v>7</v>
      </c>
      <c r="C12" t="s">
        <v>272</v>
      </c>
      <c r="D12" t="s">
        <v>301</v>
      </c>
      <c r="E12" t="s">
        <v>273</v>
      </c>
    </row>
    <row r="13" spans="1:9" x14ac:dyDescent="0.25">
      <c r="A13" s="19" t="s">
        <v>274</v>
      </c>
      <c r="B13">
        <v>45</v>
      </c>
      <c r="C13">
        <v>0.65758899999999998</v>
      </c>
      <c r="D13">
        <v>0.60304199999999997</v>
      </c>
      <c r="E13">
        <v>1</v>
      </c>
    </row>
    <row r="14" spans="1:9" x14ac:dyDescent="0.25">
      <c r="A14" s="19" t="s">
        <v>276</v>
      </c>
      <c r="B14">
        <v>0</v>
      </c>
      <c r="C14">
        <v>0</v>
      </c>
      <c r="D14">
        <v>0</v>
      </c>
      <c r="E14">
        <v>0</v>
      </c>
    </row>
    <row r="15" spans="1:9" x14ac:dyDescent="0.25">
      <c r="A15" s="19" t="s">
        <v>183</v>
      </c>
      <c r="B15" t="s">
        <v>240</v>
      </c>
      <c r="C15" t="s">
        <v>241</v>
      </c>
      <c r="D15" t="s">
        <v>242</v>
      </c>
      <c r="E15" t="s">
        <v>277</v>
      </c>
      <c r="F15" t="s">
        <v>243</v>
      </c>
      <c r="G15" t="s">
        <v>244</v>
      </c>
      <c r="H15" t="s">
        <v>275</v>
      </c>
      <c r="I15" t="s">
        <v>245</v>
      </c>
    </row>
    <row r="16" spans="1:9" x14ac:dyDescent="0.25">
      <c r="A16" s="19" t="s">
        <v>246</v>
      </c>
      <c r="B16" s="8">
        <v>2232170</v>
      </c>
      <c r="C16" s="8">
        <v>4515940</v>
      </c>
    </row>
    <row r="17" spans="1:9" x14ac:dyDescent="0.25">
      <c r="A17" s="19" t="s">
        <v>247</v>
      </c>
      <c r="B17" s="8">
        <v>2232170</v>
      </c>
      <c r="C17" s="8">
        <v>4515940</v>
      </c>
      <c r="D17" s="8">
        <v>4515940</v>
      </c>
      <c r="E17" s="8">
        <v>4515940</v>
      </c>
      <c r="F17" s="8">
        <v>4515940</v>
      </c>
      <c r="G17" t="s">
        <v>248</v>
      </c>
      <c r="H17">
        <v>0</v>
      </c>
      <c r="I17" t="s">
        <v>247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T9"/>
  <sheetViews>
    <sheetView zoomScale="80" zoomScaleNormal="80" workbookViewId="0"/>
  </sheetViews>
  <sheetFormatPr defaultRowHeight="12.75" x14ac:dyDescent="0.2"/>
  <cols>
    <col min="1" max="1" width="9.140625" style="1"/>
    <col min="2" max="2" width="14.85546875" style="1" customWidth="1"/>
    <col min="3" max="3" width="9.5703125" style="1" bestFit="1" customWidth="1"/>
    <col min="4" max="6" width="9.28515625" style="1" bestFit="1" customWidth="1"/>
    <col min="7" max="20" width="9.140625" style="1"/>
    <col min="21" max="21" width="20" style="1" customWidth="1"/>
    <col min="22" max="260" width="9.140625" style="1"/>
    <col min="261" max="261" width="9.28515625" style="1" bestFit="1" customWidth="1"/>
    <col min="262" max="262" width="9.5703125" style="1" bestFit="1" customWidth="1"/>
    <col min="263" max="265" width="9.28515625" style="1" bestFit="1" customWidth="1"/>
    <col min="266" max="276" width="9.140625" style="1"/>
    <col min="277" max="277" width="20" style="1" customWidth="1"/>
    <col min="278" max="516" width="9.140625" style="1"/>
    <col min="517" max="517" width="9.28515625" style="1" bestFit="1" customWidth="1"/>
    <col min="518" max="518" width="9.5703125" style="1" bestFit="1" customWidth="1"/>
    <col min="519" max="521" width="9.28515625" style="1" bestFit="1" customWidth="1"/>
    <col min="522" max="532" width="9.140625" style="1"/>
    <col min="533" max="533" width="20" style="1" customWidth="1"/>
    <col min="534" max="772" width="9.140625" style="1"/>
    <col min="773" max="773" width="9.28515625" style="1" bestFit="1" customWidth="1"/>
    <col min="774" max="774" width="9.5703125" style="1" bestFit="1" customWidth="1"/>
    <col min="775" max="777" width="9.28515625" style="1" bestFit="1" customWidth="1"/>
    <col min="778" max="788" width="9.140625" style="1"/>
    <col min="789" max="789" width="20" style="1" customWidth="1"/>
    <col min="790" max="1028" width="9.140625" style="1"/>
    <col min="1029" max="1029" width="9.28515625" style="1" bestFit="1" customWidth="1"/>
    <col min="1030" max="1030" width="9.5703125" style="1" bestFit="1" customWidth="1"/>
    <col min="1031" max="1033" width="9.28515625" style="1" bestFit="1" customWidth="1"/>
    <col min="1034" max="1044" width="9.140625" style="1"/>
    <col min="1045" max="1045" width="20" style="1" customWidth="1"/>
    <col min="1046" max="1284" width="9.140625" style="1"/>
    <col min="1285" max="1285" width="9.28515625" style="1" bestFit="1" customWidth="1"/>
    <col min="1286" max="1286" width="9.5703125" style="1" bestFit="1" customWidth="1"/>
    <col min="1287" max="1289" width="9.28515625" style="1" bestFit="1" customWidth="1"/>
    <col min="1290" max="1300" width="9.140625" style="1"/>
    <col min="1301" max="1301" width="20" style="1" customWidth="1"/>
    <col min="1302" max="1540" width="9.140625" style="1"/>
    <col min="1541" max="1541" width="9.28515625" style="1" bestFit="1" customWidth="1"/>
    <col min="1542" max="1542" width="9.5703125" style="1" bestFit="1" customWidth="1"/>
    <col min="1543" max="1545" width="9.28515625" style="1" bestFit="1" customWidth="1"/>
    <col min="1546" max="1556" width="9.140625" style="1"/>
    <col min="1557" max="1557" width="20" style="1" customWidth="1"/>
    <col min="1558" max="1796" width="9.140625" style="1"/>
    <col min="1797" max="1797" width="9.28515625" style="1" bestFit="1" customWidth="1"/>
    <col min="1798" max="1798" width="9.5703125" style="1" bestFit="1" customWidth="1"/>
    <col min="1799" max="1801" width="9.28515625" style="1" bestFit="1" customWidth="1"/>
    <col min="1802" max="1812" width="9.140625" style="1"/>
    <col min="1813" max="1813" width="20" style="1" customWidth="1"/>
    <col min="1814" max="2052" width="9.140625" style="1"/>
    <col min="2053" max="2053" width="9.28515625" style="1" bestFit="1" customWidth="1"/>
    <col min="2054" max="2054" width="9.5703125" style="1" bestFit="1" customWidth="1"/>
    <col min="2055" max="2057" width="9.28515625" style="1" bestFit="1" customWidth="1"/>
    <col min="2058" max="2068" width="9.140625" style="1"/>
    <col min="2069" max="2069" width="20" style="1" customWidth="1"/>
    <col min="2070" max="2308" width="9.140625" style="1"/>
    <col min="2309" max="2309" width="9.28515625" style="1" bestFit="1" customWidth="1"/>
    <col min="2310" max="2310" width="9.5703125" style="1" bestFit="1" customWidth="1"/>
    <col min="2311" max="2313" width="9.28515625" style="1" bestFit="1" customWidth="1"/>
    <col min="2314" max="2324" width="9.140625" style="1"/>
    <col min="2325" max="2325" width="20" style="1" customWidth="1"/>
    <col min="2326" max="2564" width="9.140625" style="1"/>
    <col min="2565" max="2565" width="9.28515625" style="1" bestFit="1" customWidth="1"/>
    <col min="2566" max="2566" width="9.5703125" style="1" bestFit="1" customWidth="1"/>
    <col min="2567" max="2569" width="9.28515625" style="1" bestFit="1" customWidth="1"/>
    <col min="2570" max="2580" width="9.140625" style="1"/>
    <col min="2581" max="2581" width="20" style="1" customWidth="1"/>
    <col min="2582" max="2820" width="9.140625" style="1"/>
    <col min="2821" max="2821" width="9.28515625" style="1" bestFit="1" customWidth="1"/>
    <col min="2822" max="2822" width="9.5703125" style="1" bestFit="1" customWidth="1"/>
    <col min="2823" max="2825" width="9.28515625" style="1" bestFit="1" customWidth="1"/>
    <col min="2826" max="2836" width="9.140625" style="1"/>
    <col min="2837" max="2837" width="20" style="1" customWidth="1"/>
    <col min="2838" max="3076" width="9.140625" style="1"/>
    <col min="3077" max="3077" width="9.28515625" style="1" bestFit="1" customWidth="1"/>
    <col min="3078" max="3078" width="9.5703125" style="1" bestFit="1" customWidth="1"/>
    <col min="3079" max="3081" width="9.28515625" style="1" bestFit="1" customWidth="1"/>
    <col min="3082" max="3092" width="9.140625" style="1"/>
    <col min="3093" max="3093" width="20" style="1" customWidth="1"/>
    <col min="3094" max="3332" width="9.140625" style="1"/>
    <col min="3333" max="3333" width="9.28515625" style="1" bestFit="1" customWidth="1"/>
    <col min="3334" max="3334" width="9.5703125" style="1" bestFit="1" customWidth="1"/>
    <col min="3335" max="3337" width="9.28515625" style="1" bestFit="1" customWidth="1"/>
    <col min="3338" max="3348" width="9.140625" style="1"/>
    <col min="3349" max="3349" width="20" style="1" customWidth="1"/>
    <col min="3350" max="3588" width="9.140625" style="1"/>
    <col min="3589" max="3589" width="9.28515625" style="1" bestFit="1" customWidth="1"/>
    <col min="3590" max="3590" width="9.5703125" style="1" bestFit="1" customWidth="1"/>
    <col min="3591" max="3593" width="9.28515625" style="1" bestFit="1" customWidth="1"/>
    <col min="3594" max="3604" width="9.140625" style="1"/>
    <col min="3605" max="3605" width="20" style="1" customWidth="1"/>
    <col min="3606" max="3844" width="9.140625" style="1"/>
    <col min="3845" max="3845" width="9.28515625" style="1" bestFit="1" customWidth="1"/>
    <col min="3846" max="3846" width="9.5703125" style="1" bestFit="1" customWidth="1"/>
    <col min="3847" max="3849" width="9.28515625" style="1" bestFit="1" customWidth="1"/>
    <col min="3850" max="3860" width="9.140625" style="1"/>
    <col min="3861" max="3861" width="20" style="1" customWidth="1"/>
    <col min="3862" max="4100" width="9.140625" style="1"/>
    <col min="4101" max="4101" width="9.28515625" style="1" bestFit="1" customWidth="1"/>
    <col min="4102" max="4102" width="9.5703125" style="1" bestFit="1" customWidth="1"/>
    <col min="4103" max="4105" width="9.28515625" style="1" bestFit="1" customWidth="1"/>
    <col min="4106" max="4116" width="9.140625" style="1"/>
    <col min="4117" max="4117" width="20" style="1" customWidth="1"/>
    <col min="4118" max="4356" width="9.140625" style="1"/>
    <col min="4357" max="4357" width="9.28515625" style="1" bestFit="1" customWidth="1"/>
    <col min="4358" max="4358" width="9.5703125" style="1" bestFit="1" customWidth="1"/>
    <col min="4359" max="4361" width="9.28515625" style="1" bestFit="1" customWidth="1"/>
    <col min="4362" max="4372" width="9.140625" style="1"/>
    <col min="4373" max="4373" width="20" style="1" customWidth="1"/>
    <col min="4374" max="4612" width="9.140625" style="1"/>
    <col min="4613" max="4613" width="9.28515625" style="1" bestFit="1" customWidth="1"/>
    <col min="4614" max="4614" width="9.5703125" style="1" bestFit="1" customWidth="1"/>
    <col min="4615" max="4617" width="9.28515625" style="1" bestFit="1" customWidth="1"/>
    <col min="4618" max="4628" width="9.140625" style="1"/>
    <col min="4629" max="4629" width="20" style="1" customWidth="1"/>
    <col min="4630" max="4868" width="9.140625" style="1"/>
    <col min="4869" max="4869" width="9.28515625" style="1" bestFit="1" customWidth="1"/>
    <col min="4870" max="4870" width="9.5703125" style="1" bestFit="1" customWidth="1"/>
    <col min="4871" max="4873" width="9.28515625" style="1" bestFit="1" customWidth="1"/>
    <col min="4874" max="4884" width="9.140625" style="1"/>
    <col min="4885" max="4885" width="20" style="1" customWidth="1"/>
    <col min="4886" max="5124" width="9.140625" style="1"/>
    <col min="5125" max="5125" width="9.28515625" style="1" bestFit="1" customWidth="1"/>
    <col min="5126" max="5126" width="9.5703125" style="1" bestFit="1" customWidth="1"/>
    <col min="5127" max="5129" width="9.28515625" style="1" bestFit="1" customWidth="1"/>
    <col min="5130" max="5140" width="9.140625" style="1"/>
    <col min="5141" max="5141" width="20" style="1" customWidth="1"/>
    <col min="5142" max="5380" width="9.140625" style="1"/>
    <col min="5381" max="5381" width="9.28515625" style="1" bestFit="1" customWidth="1"/>
    <col min="5382" max="5382" width="9.5703125" style="1" bestFit="1" customWidth="1"/>
    <col min="5383" max="5385" width="9.28515625" style="1" bestFit="1" customWidth="1"/>
    <col min="5386" max="5396" width="9.140625" style="1"/>
    <col min="5397" max="5397" width="20" style="1" customWidth="1"/>
    <col min="5398" max="5636" width="9.140625" style="1"/>
    <col min="5637" max="5637" width="9.28515625" style="1" bestFit="1" customWidth="1"/>
    <col min="5638" max="5638" width="9.5703125" style="1" bestFit="1" customWidth="1"/>
    <col min="5639" max="5641" width="9.28515625" style="1" bestFit="1" customWidth="1"/>
    <col min="5642" max="5652" width="9.140625" style="1"/>
    <col min="5653" max="5653" width="20" style="1" customWidth="1"/>
    <col min="5654" max="5892" width="9.140625" style="1"/>
    <col min="5893" max="5893" width="9.28515625" style="1" bestFit="1" customWidth="1"/>
    <col min="5894" max="5894" width="9.5703125" style="1" bestFit="1" customWidth="1"/>
    <col min="5895" max="5897" width="9.28515625" style="1" bestFit="1" customWidth="1"/>
    <col min="5898" max="5908" width="9.140625" style="1"/>
    <col min="5909" max="5909" width="20" style="1" customWidth="1"/>
    <col min="5910" max="6148" width="9.140625" style="1"/>
    <col min="6149" max="6149" width="9.28515625" style="1" bestFit="1" customWidth="1"/>
    <col min="6150" max="6150" width="9.5703125" style="1" bestFit="1" customWidth="1"/>
    <col min="6151" max="6153" width="9.28515625" style="1" bestFit="1" customWidth="1"/>
    <col min="6154" max="6164" width="9.140625" style="1"/>
    <col min="6165" max="6165" width="20" style="1" customWidth="1"/>
    <col min="6166" max="6404" width="9.140625" style="1"/>
    <col min="6405" max="6405" width="9.28515625" style="1" bestFit="1" customWidth="1"/>
    <col min="6406" max="6406" width="9.5703125" style="1" bestFit="1" customWidth="1"/>
    <col min="6407" max="6409" width="9.28515625" style="1" bestFit="1" customWidth="1"/>
    <col min="6410" max="6420" width="9.140625" style="1"/>
    <col min="6421" max="6421" width="20" style="1" customWidth="1"/>
    <col min="6422" max="6660" width="9.140625" style="1"/>
    <col min="6661" max="6661" width="9.28515625" style="1" bestFit="1" customWidth="1"/>
    <col min="6662" max="6662" width="9.5703125" style="1" bestFit="1" customWidth="1"/>
    <col min="6663" max="6665" width="9.28515625" style="1" bestFit="1" customWidth="1"/>
    <col min="6666" max="6676" width="9.140625" style="1"/>
    <col min="6677" max="6677" width="20" style="1" customWidth="1"/>
    <col min="6678" max="6916" width="9.140625" style="1"/>
    <col min="6917" max="6917" width="9.28515625" style="1" bestFit="1" customWidth="1"/>
    <col min="6918" max="6918" width="9.5703125" style="1" bestFit="1" customWidth="1"/>
    <col min="6919" max="6921" width="9.28515625" style="1" bestFit="1" customWidth="1"/>
    <col min="6922" max="6932" width="9.140625" style="1"/>
    <col min="6933" max="6933" width="20" style="1" customWidth="1"/>
    <col min="6934" max="7172" width="9.140625" style="1"/>
    <col min="7173" max="7173" width="9.28515625" style="1" bestFit="1" customWidth="1"/>
    <col min="7174" max="7174" width="9.5703125" style="1" bestFit="1" customWidth="1"/>
    <col min="7175" max="7177" width="9.28515625" style="1" bestFit="1" customWidth="1"/>
    <col min="7178" max="7188" width="9.140625" style="1"/>
    <col min="7189" max="7189" width="20" style="1" customWidth="1"/>
    <col min="7190" max="7428" width="9.140625" style="1"/>
    <col min="7429" max="7429" width="9.28515625" style="1" bestFit="1" customWidth="1"/>
    <col min="7430" max="7430" width="9.5703125" style="1" bestFit="1" customWidth="1"/>
    <col min="7431" max="7433" width="9.28515625" style="1" bestFit="1" customWidth="1"/>
    <col min="7434" max="7444" width="9.140625" style="1"/>
    <col min="7445" max="7445" width="20" style="1" customWidth="1"/>
    <col min="7446" max="7684" width="9.140625" style="1"/>
    <col min="7685" max="7685" width="9.28515625" style="1" bestFit="1" customWidth="1"/>
    <col min="7686" max="7686" width="9.5703125" style="1" bestFit="1" customWidth="1"/>
    <col min="7687" max="7689" width="9.28515625" style="1" bestFit="1" customWidth="1"/>
    <col min="7690" max="7700" width="9.140625" style="1"/>
    <col min="7701" max="7701" width="20" style="1" customWidth="1"/>
    <col min="7702" max="7940" width="9.140625" style="1"/>
    <col min="7941" max="7941" width="9.28515625" style="1" bestFit="1" customWidth="1"/>
    <col min="7942" max="7942" width="9.5703125" style="1" bestFit="1" customWidth="1"/>
    <col min="7943" max="7945" width="9.28515625" style="1" bestFit="1" customWidth="1"/>
    <col min="7946" max="7956" width="9.140625" style="1"/>
    <col min="7957" max="7957" width="20" style="1" customWidth="1"/>
    <col min="7958" max="8196" width="9.140625" style="1"/>
    <col min="8197" max="8197" width="9.28515625" style="1" bestFit="1" customWidth="1"/>
    <col min="8198" max="8198" width="9.5703125" style="1" bestFit="1" customWidth="1"/>
    <col min="8199" max="8201" width="9.28515625" style="1" bestFit="1" customWidth="1"/>
    <col min="8202" max="8212" width="9.140625" style="1"/>
    <col min="8213" max="8213" width="20" style="1" customWidth="1"/>
    <col min="8214" max="8452" width="9.140625" style="1"/>
    <col min="8453" max="8453" width="9.28515625" style="1" bestFit="1" customWidth="1"/>
    <col min="8454" max="8454" width="9.5703125" style="1" bestFit="1" customWidth="1"/>
    <col min="8455" max="8457" width="9.28515625" style="1" bestFit="1" customWidth="1"/>
    <col min="8458" max="8468" width="9.140625" style="1"/>
    <col min="8469" max="8469" width="20" style="1" customWidth="1"/>
    <col min="8470" max="8708" width="9.140625" style="1"/>
    <col min="8709" max="8709" width="9.28515625" style="1" bestFit="1" customWidth="1"/>
    <col min="8710" max="8710" width="9.5703125" style="1" bestFit="1" customWidth="1"/>
    <col min="8711" max="8713" width="9.28515625" style="1" bestFit="1" customWidth="1"/>
    <col min="8714" max="8724" width="9.140625" style="1"/>
    <col min="8725" max="8725" width="20" style="1" customWidth="1"/>
    <col min="8726" max="8964" width="9.140625" style="1"/>
    <col min="8965" max="8965" width="9.28515625" style="1" bestFit="1" customWidth="1"/>
    <col min="8966" max="8966" width="9.5703125" style="1" bestFit="1" customWidth="1"/>
    <col min="8967" max="8969" width="9.28515625" style="1" bestFit="1" customWidth="1"/>
    <col min="8970" max="8980" width="9.140625" style="1"/>
    <col min="8981" max="8981" width="20" style="1" customWidth="1"/>
    <col min="8982" max="9220" width="9.140625" style="1"/>
    <col min="9221" max="9221" width="9.28515625" style="1" bestFit="1" customWidth="1"/>
    <col min="9222" max="9222" width="9.5703125" style="1" bestFit="1" customWidth="1"/>
    <col min="9223" max="9225" width="9.28515625" style="1" bestFit="1" customWidth="1"/>
    <col min="9226" max="9236" width="9.140625" style="1"/>
    <col min="9237" max="9237" width="20" style="1" customWidth="1"/>
    <col min="9238" max="9476" width="9.140625" style="1"/>
    <col min="9477" max="9477" width="9.28515625" style="1" bestFit="1" customWidth="1"/>
    <col min="9478" max="9478" width="9.5703125" style="1" bestFit="1" customWidth="1"/>
    <col min="9479" max="9481" width="9.28515625" style="1" bestFit="1" customWidth="1"/>
    <col min="9482" max="9492" width="9.140625" style="1"/>
    <col min="9493" max="9493" width="20" style="1" customWidth="1"/>
    <col min="9494" max="9732" width="9.140625" style="1"/>
    <col min="9733" max="9733" width="9.28515625" style="1" bestFit="1" customWidth="1"/>
    <col min="9734" max="9734" width="9.5703125" style="1" bestFit="1" customWidth="1"/>
    <col min="9735" max="9737" width="9.28515625" style="1" bestFit="1" customWidth="1"/>
    <col min="9738" max="9748" width="9.140625" style="1"/>
    <col min="9749" max="9749" width="20" style="1" customWidth="1"/>
    <col min="9750" max="9988" width="9.140625" style="1"/>
    <col min="9989" max="9989" width="9.28515625" style="1" bestFit="1" customWidth="1"/>
    <col min="9990" max="9990" width="9.5703125" style="1" bestFit="1" customWidth="1"/>
    <col min="9991" max="9993" width="9.28515625" style="1" bestFit="1" customWidth="1"/>
    <col min="9994" max="10004" width="9.140625" style="1"/>
    <col min="10005" max="10005" width="20" style="1" customWidth="1"/>
    <col min="10006" max="10244" width="9.140625" style="1"/>
    <col min="10245" max="10245" width="9.28515625" style="1" bestFit="1" customWidth="1"/>
    <col min="10246" max="10246" width="9.5703125" style="1" bestFit="1" customWidth="1"/>
    <col min="10247" max="10249" width="9.28515625" style="1" bestFit="1" customWidth="1"/>
    <col min="10250" max="10260" width="9.140625" style="1"/>
    <col min="10261" max="10261" width="20" style="1" customWidth="1"/>
    <col min="10262" max="10500" width="9.140625" style="1"/>
    <col min="10501" max="10501" width="9.28515625" style="1" bestFit="1" customWidth="1"/>
    <col min="10502" max="10502" width="9.5703125" style="1" bestFit="1" customWidth="1"/>
    <col min="10503" max="10505" width="9.28515625" style="1" bestFit="1" customWidth="1"/>
    <col min="10506" max="10516" width="9.140625" style="1"/>
    <col min="10517" max="10517" width="20" style="1" customWidth="1"/>
    <col min="10518" max="10756" width="9.140625" style="1"/>
    <col min="10757" max="10757" width="9.28515625" style="1" bestFit="1" customWidth="1"/>
    <col min="10758" max="10758" width="9.5703125" style="1" bestFit="1" customWidth="1"/>
    <col min="10759" max="10761" width="9.28515625" style="1" bestFit="1" customWidth="1"/>
    <col min="10762" max="10772" width="9.140625" style="1"/>
    <col min="10773" max="10773" width="20" style="1" customWidth="1"/>
    <col min="10774" max="11012" width="9.140625" style="1"/>
    <col min="11013" max="11013" width="9.28515625" style="1" bestFit="1" customWidth="1"/>
    <col min="11014" max="11014" width="9.5703125" style="1" bestFit="1" customWidth="1"/>
    <col min="11015" max="11017" width="9.28515625" style="1" bestFit="1" customWidth="1"/>
    <col min="11018" max="11028" width="9.140625" style="1"/>
    <col min="11029" max="11029" width="20" style="1" customWidth="1"/>
    <col min="11030" max="11268" width="9.140625" style="1"/>
    <col min="11269" max="11269" width="9.28515625" style="1" bestFit="1" customWidth="1"/>
    <col min="11270" max="11270" width="9.5703125" style="1" bestFit="1" customWidth="1"/>
    <col min="11271" max="11273" width="9.28515625" style="1" bestFit="1" customWidth="1"/>
    <col min="11274" max="11284" width="9.140625" style="1"/>
    <col min="11285" max="11285" width="20" style="1" customWidth="1"/>
    <col min="11286" max="11524" width="9.140625" style="1"/>
    <col min="11525" max="11525" width="9.28515625" style="1" bestFit="1" customWidth="1"/>
    <col min="11526" max="11526" width="9.5703125" style="1" bestFit="1" customWidth="1"/>
    <col min="11527" max="11529" width="9.28515625" style="1" bestFit="1" customWidth="1"/>
    <col min="11530" max="11540" width="9.140625" style="1"/>
    <col min="11541" max="11541" width="20" style="1" customWidth="1"/>
    <col min="11542" max="11780" width="9.140625" style="1"/>
    <col min="11781" max="11781" width="9.28515625" style="1" bestFit="1" customWidth="1"/>
    <col min="11782" max="11782" width="9.5703125" style="1" bestFit="1" customWidth="1"/>
    <col min="11783" max="11785" width="9.28515625" style="1" bestFit="1" customWidth="1"/>
    <col min="11786" max="11796" width="9.140625" style="1"/>
    <col min="11797" max="11797" width="20" style="1" customWidth="1"/>
    <col min="11798" max="12036" width="9.140625" style="1"/>
    <col min="12037" max="12037" width="9.28515625" style="1" bestFit="1" customWidth="1"/>
    <col min="12038" max="12038" width="9.5703125" style="1" bestFit="1" customWidth="1"/>
    <col min="12039" max="12041" width="9.28515625" style="1" bestFit="1" customWidth="1"/>
    <col min="12042" max="12052" width="9.140625" style="1"/>
    <col min="12053" max="12053" width="20" style="1" customWidth="1"/>
    <col min="12054" max="12292" width="9.140625" style="1"/>
    <col min="12293" max="12293" width="9.28515625" style="1" bestFit="1" customWidth="1"/>
    <col min="12294" max="12294" width="9.5703125" style="1" bestFit="1" customWidth="1"/>
    <col min="12295" max="12297" width="9.28515625" style="1" bestFit="1" customWidth="1"/>
    <col min="12298" max="12308" width="9.140625" style="1"/>
    <col min="12309" max="12309" width="20" style="1" customWidth="1"/>
    <col min="12310" max="12548" width="9.140625" style="1"/>
    <col min="12549" max="12549" width="9.28515625" style="1" bestFit="1" customWidth="1"/>
    <col min="12550" max="12550" width="9.5703125" style="1" bestFit="1" customWidth="1"/>
    <col min="12551" max="12553" width="9.28515625" style="1" bestFit="1" customWidth="1"/>
    <col min="12554" max="12564" width="9.140625" style="1"/>
    <col min="12565" max="12565" width="20" style="1" customWidth="1"/>
    <col min="12566" max="12804" width="9.140625" style="1"/>
    <col min="12805" max="12805" width="9.28515625" style="1" bestFit="1" customWidth="1"/>
    <col min="12806" max="12806" width="9.5703125" style="1" bestFit="1" customWidth="1"/>
    <col min="12807" max="12809" width="9.28515625" style="1" bestFit="1" customWidth="1"/>
    <col min="12810" max="12820" width="9.140625" style="1"/>
    <col min="12821" max="12821" width="20" style="1" customWidth="1"/>
    <col min="12822" max="13060" width="9.140625" style="1"/>
    <col min="13061" max="13061" width="9.28515625" style="1" bestFit="1" customWidth="1"/>
    <col min="13062" max="13062" width="9.5703125" style="1" bestFit="1" customWidth="1"/>
    <col min="13063" max="13065" width="9.28515625" style="1" bestFit="1" customWidth="1"/>
    <col min="13066" max="13076" width="9.140625" style="1"/>
    <col min="13077" max="13077" width="20" style="1" customWidth="1"/>
    <col min="13078" max="13316" width="9.140625" style="1"/>
    <col min="13317" max="13317" width="9.28515625" style="1" bestFit="1" customWidth="1"/>
    <col min="13318" max="13318" width="9.5703125" style="1" bestFit="1" customWidth="1"/>
    <col min="13319" max="13321" width="9.28515625" style="1" bestFit="1" customWidth="1"/>
    <col min="13322" max="13332" width="9.140625" style="1"/>
    <col min="13333" max="13333" width="20" style="1" customWidth="1"/>
    <col min="13334" max="13572" width="9.140625" style="1"/>
    <col min="13573" max="13573" width="9.28515625" style="1" bestFit="1" customWidth="1"/>
    <col min="13574" max="13574" width="9.5703125" style="1" bestFit="1" customWidth="1"/>
    <col min="13575" max="13577" width="9.28515625" style="1" bestFit="1" customWidth="1"/>
    <col min="13578" max="13588" width="9.140625" style="1"/>
    <col min="13589" max="13589" width="20" style="1" customWidth="1"/>
    <col min="13590" max="13828" width="9.140625" style="1"/>
    <col min="13829" max="13829" width="9.28515625" style="1" bestFit="1" customWidth="1"/>
    <col min="13830" max="13830" width="9.5703125" style="1" bestFit="1" customWidth="1"/>
    <col min="13831" max="13833" width="9.28515625" style="1" bestFit="1" customWidth="1"/>
    <col min="13834" max="13844" width="9.140625" style="1"/>
    <col min="13845" max="13845" width="20" style="1" customWidth="1"/>
    <col min="13846" max="14084" width="9.140625" style="1"/>
    <col min="14085" max="14085" width="9.28515625" style="1" bestFit="1" customWidth="1"/>
    <col min="14086" max="14086" width="9.5703125" style="1" bestFit="1" customWidth="1"/>
    <col min="14087" max="14089" width="9.28515625" style="1" bestFit="1" customWidth="1"/>
    <col min="14090" max="14100" width="9.140625" style="1"/>
    <col min="14101" max="14101" width="20" style="1" customWidth="1"/>
    <col min="14102" max="14340" width="9.140625" style="1"/>
    <col min="14341" max="14341" width="9.28515625" style="1" bestFit="1" customWidth="1"/>
    <col min="14342" max="14342" width="9.5703125" style="1" bestFit="1" customWidth="1"/>
    <col min="14343" max="14345" width="9.28515625" style="1" bestFit="1" customWidth="1"/>
    <col min="14346" max="14356" width="9.140625" style="1"/>
    <col min="14357" max="14357" width="20" style="1" customWidth="1"/>
    <col min="14358" max="14596" width="9.140625" style="1"/>
    <col min="14597" max="14597" width="9.28515625" style="1" bestFit="1" customWidth="1"/>
    <col min="14598" max="14598" width="9.5703125" style="1" bestFit="1" customWidth="1"/>
    <col min="14599" max="14601" width="9.28515625" style="1" bestFit="1" customWidth="1"/>
    <col min="14602" max="14612" width="9.140625" style="1"/>
    <col min="14613" max="14613" width="20" style="1" customWidth="1"/>
    <col min="14614" max="14852" width="9.140625" style="1"/>
    <col min="14853" max="14853" width="9.28515625" style="1" bestFit="1" customWidth="1"/>
    <col min="14854" max="14854" width="9.5703125" style="1" bestFit="1" customWidth="1"/>
    <col min="14855" max="14857" width="9.28515625" style="1" bestFit="1" customWidth="1"/>
    <col min="14858" max="14868" width="9.140625" style="1"/>
    <col min="14869" max="14869" width="20" style="1" customWidth="1"/>
    <col min="14870" max="15108" width="9.140625" style="1"/>
    <col min="15109" max="15109" width="9.28515625" style="1" bestFit="1" customWidth="1"/>
    <col min="15110" max="15110" width="9.5703125" style="1" bestFit="1" customWidth="1"/>
    <col min="15111" max="15113" width="9.28515625" style="1" bestFit="1" customWidth="1"/>
    <col min="15114" max="15124" width="9.140625" style="1"/>
    <col min="15125" max="15125" width="20" style="1" customWidth="1"/>
    <col min="15126" max="15364" width="9.140625" style="1"/>
    <col min="15365" max="15365" width="9.28515625" style="1" bestFit="1" customWidth="1"/>
    <col min="15366" max="15366" width="9.5703125" style="1" bestFit="1" customWidth="1"/>
    <col min="15367" max="15369" width="9.28515625" style="1" bestFit="1" customWidth="1"/>
    <col min="15370" max="15380" width="9.140625" style="1"/>
    <col min="15381" max="15381" width="20" style="1" customWidth="1"/>
    <col min="15382" max="15620" width="9.140625" style="1"/>
    <col min="15621" max="15621" width="9.28515625" style="1" bestFit="1" customWidth="1"/>
    <col min="15622" max="15622" width="9.5703125" style="1" bestFit="1" customWidth="1"/>
    <col min="15623" max="15625" width="9.28515625" style="1" bestFit="1" customWidth="1"/>
    <col min="15626" max="15636" width="9.140625" style="1"/>
    <col min="15637" max="15637" width="20" style="1" customWidth="1"/>
    <col min="15638" max="15876" width="9.140625" style="1"/>
    <col min="15877" max="15877" width="9.28515625" style="1" bestFit="1" customWidth="1"/>
    <col min="15878" max="15878" width="9.5703125" style="1" bestFit="1" customWidth="1"/>
    <col min="15879" max="15881" width="9.28515625" style="1" bestFit="1" customWidth="1"/>
    <col min="15882" max="15892" width="9.140625" style="1"/>
    <col min="15893" max="15893" width="20" style="1" customWidth="1"/>
    <col min="15894" max="16132" width="9.140625" style="1"/>
    <col min="16133" max="16133" width="9.28515625" style="1" bestFit="1" customWidth="1"/>
    <col min="16134" max="16134" width="9.5703125" style="1" bestFit="1" customWidth="1"/>
    <col min="16135" max="16137" width="9.28515625" style="1" bestFit="1" customWidth="1"/>
    <col min="16138" max="16148" width="9.140625" style="1"/>
    <col min="16149" max="16149" width="20" style="1" customWidth="1"/>
    <col min="16150" max="16384" width="9.140625" style="1"/>
  </cols>
  <sheetData>
    <row r="2" spans="1:20" ht="408.75" customHeight="1" x14ac:dyDescent="0.2">
      <c r="A2" s="4" t="s">
        <v>65</v>
      </c>
    </row>
    <row r="3" spans="1:20" ht="15" x14ac:dyDescent="0.2">
      <c r="B3" s="18"/>
      <c r="Q3" s="6">
        <f>IF(P3&lt;=0,G3,#N/A)</f>
        <v>0</v>
      </c>
      <c r="R3" s="6">
        <f>IF(P3&gt;=0,G3,#N/A)</f>
        <v>0</v>
      </c>
      <c r="S3" s="6" t="e">
        <f>IF(P3&gt;0,G3*EXP(-2*K3),#N/A)</f>
        <v>#N/A</v>
      </c>
      <c r="T3" s="6" t="e">
        <f>IF(P3&gt;0,G3*EXP(2*K3),#N/A)</f>
        <v>#N/A</v>
      </c>
    </row>
    <row r="4" spans="1:20" ht="15" x14ac:dyDescent="0.25">
      <c r="A4" s="19" t="s">
        <v>0</v>
      </c>
      <c r="B4" t="s">
        <v>326</v>
      </c>
      <c r="C4" t="s">
        <v>3</v>
      </c>
      <c r="D4" t="s">
        <v>2</v>
      </c>
      <c r="E4" t="s">
        <v>318</v>
      </c>
      <c r="F4" t="s">
        <v>24</v>
      </c>
      <c r="G4" t="s">
        <v>4</v>
      </c>
      <c r="H4" t="s">
        <v>5</v>
      </c>
      <c r="I4" t="s">
        <v>260</v>
      </c>
      <c r="J4" t="s">
        <v>25</v>
      </c>
      <c r="K4" t="s">
        <v>26</v>
      </c>
      <c r="L4" s="19" t="s">
        <v>27</v>
      </c>
      <c r="M4" s="19" t="s">
        <v>6</v>
      </c>
      <c r="N4" t="s">
        <v>28</v>
      </c>
      <c r="O4" t="s">
        <v>303</v>
      </c>
      <c r="P4" t="s">
        <v>315</v>
      </c>
      <c r="Q4" s="19" t="s">
        <v>320</v>
      </c>
      <c r="R4" s="1" t="s">
        <v>4</v>
      </c>
      <c r="S4" s="1" t="s">
        <v>201</v>
      </c>
      <c r="T4" s="1" t="s">
        <v>202</v>
      </c>
    </row>
    <row r="5" spans="1:20" ht="15" x14ac:dyDescent="0.25">
      <c r="A5" s="19">
        <v>5</v>
      </c>
      <c r="B5" t="s">
        <v>350</v>
      </c>
      <c r="C5">
        <v>1968</v>
      </c>
      <c r="D5">
        <v>1</v>
      </c>
      <c r="E5">
        <v>1968.25</v>
      </c>
      <c r="F5" s="8">
        <v>6165990</v>
      </c>
      <c r="G5">
        <v>26.91</v>
      </c>
      <c r="H5">
        <v>10.4902</v>
      </c>
      <c r="I5" s="8">
        <v>1.70131E-6</v>
      </c>
      <c r="J5" s="8">
        <v>1.70131E-6</v>
      </c>
      <c r="K5">
        <v>0.390818</v>
      </c>
      <c r="L5" s="19">
        <v>0.94205399999999995</v>
      </c>
      <c r="M5" s="19">
        <v>2.90517</v>
      </c>
      <c r="N5">
        <v>1.96566</v>
      </c>
      <c r="O5" t="s">
        <v>205</v>
      </c>
      <c r="P5">
        <v>1</v>
      </c>
      <c r="Q5" s="6" t="e">
        <f t="shared" ref="Q5:Q9" si="0">IF(P5&lt;=0,G5,#N/A)</f>
        <v>#N/A</v>
      </c>
      <c r="R5" s="6">
        <f t="shared" ref="R5:R9" si="1">IF(P5&gt;=0,G5,#N/A)</f>
        <v>26.91</v>
      </c>
      <c r="S5" s="6">
        <f t="shared" ref="S5:S9" si="2">IF(P5&gt;0,G5*EXP(-2*K5),#N/A)</f>
        <v>12.315541048828054</v>
      </c>
      <c r="T5" s="6">
        <f t="shared" ref="T5:T9" si="3">IF(P5&gt;0,G5*EXP(2*K5),#N/A)</f>
        <v>58.799536060083199</v>
      </c>
    </row>
    <row r="6" spans="1:20" ht="15" x14ac:dyDescent="0.25">
      <c r="A6" s="19">
        <v>5</v>
      </c>
      <c r="B6" t="s">
        <v>350</v>
      </c>
      <c r="C6">
        <v>1969</v>
      </c>
      <c r="D6">
        <v>1</v>
      </c>
      <c r="E6">
        <v>1969.25</v>
      </c>
      <c r="F6" s="8">
        <v>5277670</v>
      </c>
      <c r="G6">
        <v>11.15</v>
      </c>
      <c r="H6">
        <v>8.9789300000000001</v>
      </c>
      <c r="I6" s="8">
        <v>1.70131E-6</v>
      </c>
      <c r="J6" s="8">
        <v>1.70131E-6</v>
      </c>
      <c r="K6">
        <v>0.425118</v>
      </c>
      <c r="L6" s="19">
        <v>0.216559</v>
      </c>
      <c r="M6" s="19">
        <v>0.129749</v>
      </c>
      <c r="N6">
        <v>-0.72563900000000003</v>
      </c>
      <c r="O6" t="s">
        <v>205</v>
      </c>
      <c r="P6">
        <v>1</v>
      </c>
      <c r="Q6" s="6" t="e">
        <f t="shared" si="0"/>
        <v>#N/A</v>
      </c>
      <c r="R6" s="6">
        <f t="shared" si="1"/>
        <v>11.15</v>
      </c>
      <c r="S6" s="6">
        <f t="shared" si="2"/>
        <v>4.7645519242804921</v>
      </c>
      <c r="T6" s="6">
        <f t="shared" si="3"/>
        <v>26.093219672230621</v>
      </c>
    </row>
    <row r="7" spans="1:20" ht="15" x14ac:dyDescent="0.25">
      <c r="A7" s="19">
        <v>5</v>
      </c>
      <c r="B7" t="s">
        <v>350</v>
      </c>
      <c r="C7">
        <v>1970</v>
      </c>
      <c r="D7">
        <v>1</v>
      </c>
      <c r="E7">
        <v>1970.25</v>
      </c>
      <c r="F7" s="8">
        <v>3989610</v>
      </c>
      <c r="G7">
        <v>8.23</v>
      </c>
      <c r="H7">
        <v>6.7875399999999999</v>
      </c>
      <c r="I7" s="8">
        <v>1.70131E-6</v>
      </c>
      <c r="J7" s="8">
        <v>1.70131E-6</v>
      </c>
      <c r="K7">
        <v>0.38413700000000001</v>
      </c>
      <c r="L7" s="19">
        <v>0.19269800000000001</v>
      </c>
      <c r="M7" s="19">
        <v>0.12581999999999999</v>
      </c>
      <c r="N7">
        <v>-0.83093600000000001</v>
      </c>
      <c r="O7" t="s">
        <v>205</v>
      </c>
      <c r="P7">
        <v>1</v>
      </c>
      <c r="Q7" s="6" t="e">
        <f t="shared" si="0"/>
        <v>#N/A</v>
      </c>
      <c r="R7" s="6">
        <f t="shared" si="1"/>
        <v>8.23</v>
      </c>
      <c r="S7" s="6">
        <f t="shared" si="2"/>
        <v>3.8171803228733823</v>
      </c>
      <c r="T7" s="6">
        <f t="shared" si="3"/>
        <v>17.744223293337651</v>
      </c>
    </row>
    <row r="8" spans="1:20" ht="15" x14ac:dyDescent="0.25">
      <c r="A8" s="19">
        <v>5</v>
      </c>
      <c r="B8" t="s">
        <v>350</v>
      </c>
      <c r="C8">
        <v>1971</v>
      </c>
      <c r="D8">
        <v>1</v>
      </c>
      <c r="E8">
        <v>1971.25</v>
      </c>
      <c r="F8" s="8">
        <v>3159400</v>
      </c>
      <c r="G8">
        <v>1.81</v>
      </c>
      <c r="H8">
        <v>5.3750999999999998</v>
      </c>
      <c r="I8" s="8">
        <v>1.70131E-6</v>
      </c>
      <c r="J8" s="8">
        <v>1.70131E-6</v>
      </c>
      <c r="K8">
        <v>0.26611200000000002</v>
      </c>
      <c r="L8" s="19">
        <v>-1.0884499999999999</v>
      </c>
      <c r="M8" s="19">
        <v>8.3648600000000002</v>
      </c>
      <c r="N8">
        <v>7.0410199999999996</v>
      </c>
      <c r="O8" t="s">
        <v>205</v>
      </c>
      <c r="P8">
        <v>1</v>
      </c>
      <c r="Q8" s="6" t="e">
        <f t="shared" si="0"/>
        <v>#N/A</v>
      </c>
      <c r="R8" s="6">
        <f t="shared" si="1"/>
        <v>1.81</v>
      </c>
      <c r="S8" s="6">
        <f t="shared" si="2"/>
        <v>1.0630082339426423</v>
      </c>
      <c r="T8" s="6">
        <f t="shared" si="3"/>
        <v>3.0819140392253743</v>
      </c>
    </row>
    <row r="9" spans="1:20" ht="15" x14ac:dyDescent="0.25">
      <c r="A9" s="19">
        <v>5</v>
      </c>
      <c r="B9" t="s">
        <v>350</v>
      </c>
      <c r="C9">
        <v>1972</v>
      </c>
      <c r="D9">
        <v>1</v>
      </c>
      <c r="E9">
        <v>1972.25</v>
      </c>
      <c r="F9" s="8">
        <v>3349580</v>
      </c>
      <c r="G9">
        <v>2.86</v>
      </c>
      <c r="H9">
        <v>5.6986600000000003</v>
      </c>
      <c r="I9" s="8">
        <v>1.70131E-6</v>
      </c>
      <c r="J9" s="8">
        <v>1.70131E-6</v>
      </c>
      <c r="K9">
        <v>0.26780900000000002</v>
      </c>
      <c r="L9" s="19">
        <v>-0.68940900000000005</v>
      </c>
      <c r="M9" s="19">
        <v>3.3134000000000001</v>
      </c>
      <c r="N9">
        <v>1.9959199999999999</v>
      </c>
      <c r="O9" t="s">
        <v>205</v>
      </c>
      <c r="P9">
        <v>1</v>
      </c>
      <c r="Q9" s="6" t="e">
        <f t="shared" si="0"/>
        <v>#N/A</v>
      </c>
      <c r="R9" s="6">
        <f t="shared" si="1"/>
        <v>2.86</v>
      </c>
      <c r="S9" s="6">
        <f t="shared" si="2"/>
        <v>1.6739793308553392</v>
      </c>
      <c r="T9" s="6">
        <f t="shared" si="3"/>
        <v>4.8863207861835054</v>
      </c>
    </row>
  </sheetData>
  <pageMargins left="0.75" right="0.75" top="1" bottom="1" header="0.5" footer="0.5"/>
  <pageSetup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I29"/>
  <sheetViews>
    <sheetView zoomScale="60" zoomScaleNormal="60" workbookViewId="0"/>
  </sheetViews>
  <sheetFormatPr defaultRowHeight="12.75" x14ac:dyDescent="0.2"/>
  <cols>
    <col min="1" max="1" width="10.140625" style="1" customWidth="1"/>
    <col min="2" max="3" width="14.140625" style="1" customWidth="1"/>
    <col min="4" max="4" width="14.42578125" style="1" customWidth="1"/>
    <col min="5" max="5" width="12.7109375" style="1" customWidth="1"/>
    <col min="6" max="6" width="25.5703125" style="1" customWidth="1"/>
    <col min="7" max="8" width="13.28515625" style="1" customWidth="1"/>
    <col min="9" max="9" width="16.7109375" style="1" customWidth="1"/>
    <col min="10" max="10" width="17.28515625" style="1" customWidth="1"/>
    <col min="11" max="11" width="17.5703125" style="1" customWidth="1"/>
    <col min="12" max="12" width="17.28515625" style="1" customWidth="1"/>
    <col min="13" max="13" width="11.85546875" style="1" customWidth="1"/>
    <col min="14" max="14" width="8.140625" style="1" customWidth="1"/>
    <col min="15" max="15" width="7.5703125" style="1" customWidth="1"/>
    <col min="16" max="16" width="14.7109375" style="1" customWidth="1"/>
    <col min="17" max="17" width="4.7109375" style="1" customWidth="1"/>
    <col min="18" max="18" width="8.7109375" style="1" customWidth="1"/>
    <col min="19" max="19" width="8.42578125" style="1" customWidth="1"/>
    <col min="20" max="20" width="16.42578125" style="1" customWidth="1"/>
    <col min="21" max="21" width="15.5703125" style="1" customWidth="1"/>
    <col min="22" max="22" width="9.5703125" style="1" customWidth="1"/>
    <col min="23" max="257" width="9.140625" style="1"/>
    <col min="258" max="258" width="5.28515625" style="1" customWidth="1"/>
    <col min="259" max="260" width="9.5703125" style="1" customWidth="1"/>
    <col min="261" max="261" width="7.85546875" style="1" customWidth="1"/>
    <col min="262" max="262" width="22.140625" style="1" customWidth="1"/>
    <col min="263" max="263" width="8.7109375" style="1" customWidth="1"/>
    <col min="264" max="264" width="8.140625" style="1" customWidth="1"/>
    <col min="265" max="265" width="13" style="1" customWidth="1"/>
    <col min="266" max="266" width="13.5703125" style="1" customWidth="1"/>
    <col min="267" max="268" width="13.28515625" style="1" customWidth="1"/>
    <col min="269" max="269" width="6.7109375" style="1" customWidth="1"/>
    <col min="270" max="270" width="8.140625" style="1" customWidth="1"/>
    <col min="271" max="271" width="7.28515625" style="1" customWidth="1"/>
    <col min="272" max="272" width="15" style="1" customWidth="1"/>
    <col min="273" max="273" width="3.85546875" style="1" customWidth="1"/>
    <col min="274" max="274" width="10.85546875" style="1" bestFit="1" customWidth="1"/>
    <col min="275" max="275" width="10.5703125" style="1" bestFit="1" customWidth="1"/>
    <col min="276" max="276" width="20.85546875" style="1" bestFit="1" customWidth="1"/>
    <col min="277" max="277" width="19.85546875" style="1" bestFit="1" customWidth="1"/>
    <col min="278" max="278" width="12" style="1" bestFit="1" customWidth="1"/>
    <col min="279" max="513" width="9.140625" style="1"/>
    <col min="514" max="514" width="5.28515625" style="1" customWidth="1"/>
    <col min="515" max="516" width="9.5703125" style="1" customWidth="1"/>
    <col min="517" max="517" width="7.85546875" style="1" customWidth="1"/>
    <col min="518" max="518" width="22.140625" style="1" customWidth="1"/>
    <col min="519" max="519" width="8.7109375" style="1" customWidth="1"/>
    <col min="520" max="520" width="8.140625" style="1" customWidth="1"/>
    <col min="521" max="521" width="13" style="1" customWidth="1"/>
    <col min="522" max="522" width="13.5703125" style="1" customWidth="1"/>
    <col min="523" max="524" width="13.28515625" style="1" customWidth="1"/>
    <col min="525" max="525" width="6.7109375" style="1" customWidth="1"/>
    <col min="526" max="526" width="8.140625" style="1" customWidth="1"/>
    <col min="527" max="527" width="7.28515625" style="1" customWidth="1"/>
    <col min="528" max="528" width="15" style="1" customWidth="1"/>
    <col min="529" max="529" width="3.85546875" style="1" customWidth="1"/>
    <col min="530" max="530" width="10.85546875" style="1" bestFit="1" customWidth="1"/>
    <col min="531" max="531" width="10.5703125" style="1" bestFit="1" customWidth="1"/>
    <col min="532" max="532" width="20.85546875" style="1" bestFit="1" customWidth="1"/>
    <col min="533" max="533" width="19.85546875" style="1" bestFit="1" customWidth="1"/>
    <col min="534" max="534" width="12" style="1" bestFit="1" customWidth="1"/>
    <col min="535" max="769" width="9.140625" style="1"/>
    <col min="770" max="770" width="5.28515625" style="1" customWidth="1"/>
    <col min="771" max="772" width="9.5703125" style="1" customWidth="1"/>
    <col min="773" max="773" width="7.85546875" style="1" customWidth="1"/>
    <col min="774" max="774" width="22.140625" style="1" customWidth="1"/>
    <col min="775" max="775" width="8.7109375" style="1" customWidth="1"/>
    <col min="776" max="776" width="8.140625" style="1" customWidth="1"/>
    <col min="777" max="777" width="13" style="1" customWidth="1"/>
    <col min="778" max="778" width="13.5703125" style="1" customWidth="1"/>
    <col min="779" max="780" width="13.28515625" style="1" customWidth="1"/>
    <col min="781" max="781" width="6.7109375" style="1" customWidth="1"/>
    <col min="782" max="782" width="8.140625" style="1" customWidth="1"/>
    <col min="783" max="783" width="7.28515625" style="1" customWidth="1"/>
    <col min="784" max="784" width="15" style="1" customWidth="1"/>
    <col min="785" max="785" width="3.85546875" style="1" customWidth="1"/>
    <col min="786" max="786" width="10.85546875" style="1" bestFit="1" customWidth="1"/>
    <col min="787" max="787" width="10.5703125" style="1" bestFit="1" customWidth="1"/>
    <col min="788" max="788" width="20.85546875" style="1" bestFit="1" customWidth="1"/>
    <col min="789" max="789" width="19.85546875" style="1" bestFit="1" customWidth="1"/>
    <col min="790" max="790" width="12" style="1" bestFit="1" customWidth="1"/>
    <col min="791" max="1025" width="9.140625" style="1"/>
    <col min="1026" max="1026" width="5.28515625" style="1" customWidth="1"/>
    <col min="1027" max="1028" width="9.5703125" style="1" customWidth="1"/>
    <col min="1029" max="1029" width="7.85546875" style="1" customWidth="1"/>
    <col min="1030" max="1030" width="22.140625" style="1" customWidth="1"/>
    <col min="1031" max="1031" width="8.7109375" style="1" customWidth="1"/>
    <col min="1032" max="1032" width="8.140625" style="1" customWidth="1"/>
    <col min="1033" max="1033" width="13" style="1" customWidth="1"/>
    <col min="1034" max="1034" width="13.5703125" style="1" customWidth="1"/>
    <col min="1035" max="1036" width="13.28515625" style="1" customWidth="1"/>
    <col min="1037" max="1037" width="6.7109375" style="1" customWidth="1"/>
    <col min="1038" max="1038" width="8.140625" style="1" customWidth="1"/>
    <col min="1039" max="1039" width="7.28515625" style="1" customWidth="1"/>
    <col min="1040" max="1040" width="15" style="1" customWidth="1"/>
    <col min="1041" max="1041" width="3.85546875" style="1" customWidth="1"/>
    <col min="1042" max="1042" width="10.85546875" style="1" bestFit="1" customWidth="1"/>
    <col min="1043" max="1043" width="10.5703125" style="1" bestFit="1" customWidth="1"/>
    <col min="1044" max="1044" width="20.85546875" style="1" bestFit="1" customWidth="1"/>
    <col min="1045" max="1045" width="19.85546875" style="1" bestFit="1" customWidth="1"/>
    <col min="1046" max="1046" width="12" style="1" bestFit="1" customWidth="1"/>
    <col min="1047" max="1281" width="9.140625" style="1"/>
    <col min="1282" max="1282" width="5.28515625" style="1" customWidth="1"/>
    <col min="1283" max="1284" width="9.5703125" style="1" customWidth="1"/>
    <col min="1285" max="1285" width="7.85546875" style="1" customWidth="1"/>
    <col min="1286" max="1286" width="22.140625" style="1" customWidth="1"/>
    <col min="1287" max="1287" width="8.7109375" style="1" customWidth="1"/>
    <col min="1288" max="1288" width="8.140625" style="1" customWidth="1"/>
    <col min="1289" max="1289" width="13" style="1" customWidth="1"/>
    <col min="1290" max="1290" width="13.5703125" style="1" customWidth="1"/>
    <col min="1291" max="1292" width="13.28515625" style="1" customWidth="1"/>
    <col min="1293" max="1293" width="6.7109375" style="1" customWidth="1"/>
    <col min="1294" max="1294" width="8.140625" style="1" customWidth="1"/>
    <col min="1295" max="1295" width="7.28515625" style="1" customWidth="1"/>
    <col min="1296" max="1296" width="15" style="1" customWidth="1"/>
    <col min="1297" max="1297" width="3.85546875" style="1" customWidth="1"/>
    <col min="1298" max="1298" width="10.85546875" style="1" bestFit="1" customWidth="1"/>
    <col min="1299" max="1299" width="10.5703125" style="1" bestFit="1" customWidth="1"/>
    <col min="1300" max="1300" width="20.85546875" style="1" bestFit="1" customWidth="1"/>
    <col min="1301" max="1301" width="19.85546875" style="1" bestFit="1" customWidth="1"/>
    <col min="1302" max="1302" width="12" style="1" bestFit="1" customWidth="1"/>
    <col min="1303" max="1537" width="9.140625" style="1"/>
    <col min="1538" max="1538" width="5.28515625" style="1" customWidth="1"/>
    <col min="1539" max="1540" width="9.5703125" style="1" customWidth="1"/>
    <col min="1541" max="1541" width="7.85546875" style="1" customWidth="1"/>
    <col min="1542" max="1542" width="22.140625" style="1" customWidth="1"/>
    <col min="1543" max="1543" width="8.7109375" style="1" customWidth="1"/>
    <col min="1544" max="1544" width="8.140625" style="1" customWidth="1"/>
    <col min="1545" max="1545" width="13" style="1" customWidth="1"/>
    <col min="1546" max="1546" width="13.5703125" style="1" customWidth="1"/>
    <col min="1547" max="1548" width="13.28515625" style="1" customWidth="1"/>
    <col min="1549" max="1549" width="6.7109375" style="1" customWidth="1"/>
    <col min="1550" max="1550" width="8.140625" style="1" customWidth="1"/>
    <col min="1551" max="1551" width="7.28515625" style="1" customWidth="1"/>
    <col min="1552" max="1552" width="15" style="1" customWidth="1"/>
    <col min="1553" max="1553" width="3.85546875" style="1" customWidth="1"/>
    <col min="1554" max="1554" width="10.85546875" style="1" bestFit="1" customWidth="1"/>
    <col min="1555" max="1555" width="10.5703125" style="1" bestFit="1" customWidth="1"/>
    <col min="1556" max="1556" width="20.85546875" style="1" bestFit="1" customWidth="1"/>
    <col min="1557" max="1557" width="19.85546875" style="1" bestFit="1" customWidth="1"/>
    <col min="1558" max="1558" width="12" style="1" bestFit="1" customWidth="1"/>
    <col min="1559" max="1793" width="9.140625" style="1"/>
    <col min="1794" max="1794" width="5.28515625" style="1" customWidth="1"/>
    <col min="1795" max="1796" width="9.5703125" style="1" customWidth="1"/>
    <col min="1797" max="1797" width="7.85546875" style="1" customWidth="1"/>
    <col min="1798" max="1798" width="22.140625" style="1" customWidth="1"/>
    <col min="1799" max="1799" width="8.7109375" style="1" customWidth="1"/>
    <col min="1800" max="1800" width="8.140625" style="1" customWidth="1"/>
    <col min="1801" max="1801" width="13" style="1" customWidth="1"/>
    <col min="1802" max="1802" width="13.5703125" style="1" customWidth="1"/>
    <col min="1803" max="1804" width="13.28515625" style="1" customWidth="1"/>
    <col min="1805" max="1805" width="6.7109375" style="1" customWidth="1"/>
    <col min="1806" max="1806" width="8.140625" style="1" customWidth="1"/>
    <col min="1807" max="1807" width="7.28515625" style="1" customWidth="1"/>
    <col min="1808" max="1808" width="15" style="1" customWidth="1"/>
    <col min="1809" max="1809" width="3.85546875" style="1" customWidth="1"/>
    <col min="1810" max="1810" width="10.85546875" style="1" bestFit="1" customWidth="1"/>
    <col min="1811" max="1811" width="10.5703125" style="1" bestFit="1" customWidth="1"/>
    <col min="1812" max="1812" width="20.85546875" style="1" bestFit="1" customWidth="1"/>
    <col min="1813" max="1813" width="19.85546875" style="1" bestFit="1" customWidth="1"/>
    <col min="1814" max="1814" width="12" style="1" bestFit="1" customWidth="1"/>
    <col min="1815" max="2049" width="9.140625" style="1"/>
    <col min="2050" max="2050" width="5.28515625" style="1" customWidth="1"/>
    <col min="2051" max="2052" width="9.5703125" style="1" customWidth="1"/>
    <col min="2053" max="2053" width="7.85546875" style="1" customWidth="1"/>
    <col min="2054" max="2054" width="22.140625" style="1" customWidth="1"/>
    <col min="2055" max="2055" width="8.7109375" style="1" customWidth="1"/>
    <col min="2056" max="2056" width="8.140625" style="1" customWidth="1"/>
    <col min="2057" max="2057" width="13" style="1" customWidth="1"/>
    <col min="2058" max="2058" width="13.5703125" style="1" customWidth="1"/>
    <col min="2059" max="2060" width="13.28515625" style="1" customWidth="1"/>
    <col min="2061" max="2061" width="6.7109375" style="1" customWidth="1"/>
    <col min="2062" max="2062" width="8.140625" style="1" customWidth="1"/>
    <col min="2063" max="2063" width="7.28515625" style="1" customWidth="1"/>
    <col min="2064" max="2064" width="15" style="1" customWidth="1"/>
    <col min="2065" max="2065" width="3.85546875" style="1" customWidth="1"/>
    <col min="2066" max="2066" width="10.85546875" style="1" bestFit="1" customWidth="1"/>
    <col min="2067" max="2067" width="10.5703125" style="1" bestFit="1" customWidth="1"/>
    <col min="2068" max="2068" width="20.85546875" style="1" bestFit="1" customWidth="1"/>
    <col min="2069" max="2069" width="19.85546875" style="1" bestFit="1" customWidth="1"/>
    <col min="2070" max="2070" width="12" style="1" bestFit="1" customWidth="1"/>
    <col min="2071" max="2305" width="9.140625" style="1"/>
    <col min="2306" max="2306" width="5.28515625" style="1" customWidth="1"/>
    <col min="2307" max="2308" width="9.5703125" style="1" customWidth="1"/>
    <col min="2309" max="2309" width="7.85546875" style="1" customWidth="1"/>
    <col min="2310" max="2310" width="22.140625" style="1" customWidth="1"/>
    <col min="2311" max="2311" width="8.7109375" style="1" customWidth="1"/>
    <col min="2312" max="2312" width="8.140625" style="1" customWidth="1"/>
    <col min="2313" max="2313" width="13" style="1" customWidth="1"/>
    <col min="2314" max="2314" width="13.5703125" style="1" customWidth="1"/>
    <col min="2315" max="2316" width="13.28515625" style="1" customWidth="1"/>
    <col min="2317" max="2317" width="6.7109375" style="1" customWidth="1"/>
    <col min="2318" max="2318" width="8.140625" style="1" customWidth="1"/>
    <col min="2319" max="2319" width="7.28515625" style="1" customWidth="1"/>
    <col min="2320" max="2320" width="15" style="1" customWidth="1"/>
    <col min="2321" max="2321" width="3.85546875" style="1" customWidth="1"/>
    <col min="2322" max="2322" width="10.85546875" style="1" bestFit="1" customWidth="1"/>
    <col min="2323" max="2323" width="10.5703125" style="1" bestFit="1" customWidth="1"/>
    <col min="2324" max="2324" width="20.85546875" style="1" bestFit="1" customWidth="1"/>
    <col min="2325" max="2325" width="19.85546875" style="1" bestFit="1" customWidth="1"/>
    <col min="2326" max="2326" width="12" style="1" bestFit="1" customWidth="1"/>
    <col min="2327" max="2561" width="9.140625" style="1"/>
    <col min="2562" max="2562" width="5.28515625" style="1" customWidth="1"/>
    <col min="2563" max="2564" width="9.5703125" style="1" customWidth="1"/>
    <col min="2565" max="2565" width="7.85546875" style="1" customWidth="1"/>
    <col min="2566" max="2566" width="22.140625" style="1" customWidth="1"/>
    <col min="2567" max="2567" width="8.7109375" style="1" customWidth="1"/>
    <col min="2568" max="2568" width="8.140625" style="1" customWidth="1"/>
    <col min="2569" max="2569" width="13" style="1" customWidth="1"/>
    <col min="2570" max="2570" width="13.5703125" style="1" customWidth="1"/>
    <col min="2571" max="2572" width="13.28515625" style="1" customWidth="1"/>
    <col min="2573" max="2573" width="6.7109375" style="1" customWidth="1"/>
    <col min="2574" max="2574" width="8.140625" style="1" customWidth="1"/>
    <col min="2575" max="2575" width="7.28515625" style="1" customWidth="1"/>
    <col min="2576" max="2576" width="15" style="1" customWidth="1"/>
    <col min="2577" max="2577" width="3.85546875" style="1" customWidth="1"/>
    <col min="2578" max="2578" width="10.85546875" style="1" bestFit="1" customWidth="1"/>
    <col min="2579" max="2579" width="10.5703125" style="1" bestFit="1" customWidth="1"/>
    <col min="2580" max="2580" width="20.85546875" style="1" bestFit="1" customWidth="1"/>
    <col min="2581" max="2581" width="19.85546875" style="1" bestFit="1" customWidth="1"/>
    <col min="2582" max="2582" width="12" style="1" bestFit="1" customWidth="1"/>
    <col min="2583" max="2817" width="9.140625" style="1"/>
    <col min="2818" max="2818" width="5.28515625" style="1" customWidth="1"/>
    <col min="2819" max="2820" width="9.5703125" style="1" customWidth="1"/>
    <col min="2821" max="2821" width="7.85546875" style="1" customWidth="1"/>
    <col min="2822" max="2822" width="22.140625" style="1" customWidth="1"/>
    <col min="2823" max="2823" width="8.7109375" style="1" customWidth="1"/>
    <col min="2824" max="2824" width="8.140625" style="1" customWidth="1"/>
    <col min="2825" max="2825" width="13" style="1" customWidth="1"/>
    <col min="2826" max="2826" width="13.5703125" style="1" customWidth="1"/>
    <col min="2827" max="2828" width="13.28515625" style="1" customWidth="1"/>
    <col min="2829" max="2829" width="6.7109375" style="1" customWidth="1"/>
    <col min="2830" max="2830" width="8.140625" style="1" customWidth="1"/>
    <col min="2831" max="2831" width="7.28515625" style="1" customWidth="1"/>
    <col min="2832" max="2832" width="15" style="1" customWidth="1"/>
    <col min="2833" max="2833" width="3.85546875" style="1" customWidth="1"/>
    <col min="2834" max="2834" width="10.85546875" style="1" bestFit="1" customWidth="1"/>
    <col min="2835" max="2835" width="10.5703125" style="1" bestFit="1" customWidth="1"/>
    <col min="2836" max="2836" width="20.85546875" style="1" bestFit="1" customWidth="1"/>
    <col min="2837" max="2837" width="19.85546875" style="1" bestFit="1" customWidth="1"/>
    <col min="2838" max="2838" width="12" style="1" bestFit="1" customWidth="1"/>
    <col min="2839" max="3073" width="9.140625" style="1"/>
    <col min="3074" max="3074" width="5.28515625" style="1" customWidth="1"/>
    <col min="3075" max="3076" width="9.5703125" style="1" customWidth="1"/>
    <col min="3077" max="3077" width="7.85546875" style="1" customWidth="1"/>
    <col min="3078" max="3078" width="22.140625" style="1" customWidth="1"/>
    <col min="3079" max="3079" width="8.7109375" style="1" customWidth="1"/>
    <col min="3080" max="3080" width="8.140625" style="1" customWidth="1"/>
    <col min="3081" max="3081" width="13" style="1" customWidth="1"/>
    <col min="3082" max="3082" width="13.5703125" style="1" customWidth="1"/>
    <col min="3083" max="3084" width="13.28515625" style="1" customWidth="1"/>
    <col min="3085" max="3085" width="6.7109375" style="1" customWidth="1"/>
    <col min="3086" max="3086" width="8.140625" style="1" customWidth="1"/>
    <col min="3087" max="3087" width="7.28515625" style="1" customWidth="1"/>
    <col min="3088" max="3088" width="15" style="1" customWidth="1"/>
    <col min="3089" max="3089" width="3.85546875" style="1" customWidth="1"/>
    <col min="3090" max="3090" width="10.85546875" style="1" bestFit="1" customWidth="1"/>
    <col min="3091" max="3091" width="10.5703125" style="1" bestFit="1" customWidth="1"/>
    <col min="3092" max="3092" width="20.85546875" style="1" bestFit="1" customWidth="1"/>
    <col min="3093" max="3093" width="19.85546875" style="1" bestFit="1" customWidth="1"/>
    <col min="3094" max="3094" width="12" style="1" bestFit="1" customWidth="1"/>
    <col min="3095" max="3329" width="9.140625" style="1"/>
    <col min="3330" max="3330" width="5.28515625" style="1" customWidth="1"/>
    <col min="3331" max="3332" width="9.5703125" style="1" customWidth="1"/>
    <col min="3333" max="3333" width="7.85546875" style="1" customWidth="1"/>
    <col min="3334" max="3334" width="22.140625" style="1" customWidth="1"/>
    <col min="3335" max="3335" width="8.7109375" style="1" customWidth="1"/>
    <col min="3336" max="3336" width="8.140625" style="1" customWidth="1"/>
    <col min="3337" max="3337" width="13" style="1" customWidth="1"/>
    <col min="3338" max="3338" width="13.5703125" style="1" customWidth="1"/>
    <col min="3339" max="3340" width="13.28515625" style="1" customWidth="1"/>
    <col min="3341" max="3341" width="6.7109375" style="1" customWidth="1"/>
    <col min="3342" max="3342" width="8.140625" style="1" customWidth="1"/>
    <col min="3343" max="3343" width="7.28515625" style="1" customWidth="1"/>
    <col min="3344" max="3344" width="15" style="1" customWidth="1"/>
    <col min="3345" max="3345" width="3.85546875" style="1" customWidth="1"/>
    <col min="3346" max="3346" width="10.85546875" style="1" bestFit="1" customWidth="1"/>
    <col min="3347" max="3347" width="10.5703125" style="1" bestFit="1" customWidth="1"/>
    <col min="3348" max="3348" width="20.85546875" style="1" bestFit="1" customWidth="1"/>
    <col min="3349" max="3349" width="19.85546875" style="1" bestFit="1" customWidth="1"/>
    <col min="3350" max="3350" width="12" style="1" bestFit="1" customWidth="1"/>
    <col min="3351" max="3585" width="9.140625" style="1"/>
    <col min="3586" max="3586" width="5.28515625" style="1" customWidth="1"/>
    <col min="3587" max="3588" width="9.5703125" style="1" customWidth="1"/>
    <col min="3589" max="3589" width="7.85546875" style="1" customWidth="1"/>
    <col min="3590" max="3590" width="22.140625" style="1" customWidth="1"/>
    <col min="3591" max="3591" width="8.7109375" style="1" customWidth="1"/>
    <col min="3592" max="3592" width="8.140625" style="1" customWidth="1"/>
    <col min="3593" max="3593" width="13" style="1" customWidth="1"/>
    <col min="3594" max="3594" width="13.5703125" style="1" customWidth="1"/>
    <col min="3595" max="3596" width="13.28515625" style="1" customWidth="1"/>
    <col min="3597" max="3597" width="6.7109375" style="1" customWidth="1"/>
    <col min="3598" max="3598" width="8.140625" style="1" customWidth="1"/>
    <col min="3599" max="3599" width="7.28515625" style="1" customWidth="1"/>
    <col min="3600" max="3600" width="15" style="1" customWidth="1"/>
    <col min="3601" max="3601" width="3.85546875" style="1" customWidth="1"/>
    <col min="3602" max="3602" width="10.85546875" style="1" bestFit="1" customWidth="1"/>
    <col min="3603" max="3603" width="10.5703125" style="1" bestFit="1" customWidth="1"/>
    <col min="3604" max="3604" width="20.85546875" style="1" bestFit="1" customWidth="1"/>
    <col min="3605" max="3605" width="19.85546875" style="1" bestFit="1" customWidth="1"/>
    <col min="3606" max="3606" width="12" style="1" bestFit="1" customWidth="1"/>
    <col min="3607" max="3841" width="9.140625" style="1"/>
    <col min="3842" max="3842" width="5.28515625" style="1" customWidth="1"/>
    <col min="3843" max="3844" width="9.5703125" style="1" customWidth="1"/>
    <col min="3845" max="3845" width="7.85546875" style="1" customWidth="1"/>
    <col min="3846" max="3846" width="22.140625" style="1" customWidth="1"/>
    <col min="3847" max="3847" width="8.7109375" style="1" customWidth="1"/>
    <col min="3848" max="3848" width="8.140625" style="1" customWidth="1"/>
    <col min="3849" max="3849" width="13" style="1" customWidth="1"/>
    <col min="3850" max="3850" width="13.5703125" style="1" customWidth="1"/>
    <col min="3851" max="3852" width="13.28515625" style="1" customWidth="1"/>
    <col min="3853" max="3853" width="6.7109375" style="1" customWidth="1"/>
    <col min="3854" max="3854" width="8.140625" style="1" customWidth="1"/>
    <col min="3855" max="3855" width="7.28515625" style="1" customWidth="1"/>
    <col min="3856" max="3856" width="15" style="1" customWidth="1"/>
    <col min="3857" max="3857" width="3.85546875" style="1" customWidth="1"/>
    <col min="3858" max="3858" width="10.85546875" style="1" bestFit="1" customWidth="1"/>
    <col min="3859" max="3859" width="10.5703125" style="1" bestFit="1" customWidth="1"/>
    <col min="3860" max="3860" width="20.85546875" style="1" bestFit="1" customWidth="1"/>
    <col min="3861" max="3861" width="19.85546875" style="1" bestFit="1" customWidth="1"/>
    <col min="3862" max="3862" width="12" style="1" bestFit="1" customWidth="1"/>
    <col min="3863" max="4097" width="9.140625" style="1"/>
    <col min="4098" max="4098" width="5.28515625" style="1" customWidth="1"/>
    <col min="4099" max="4100" width="9.5703125" style="1" customWidth="1"/>
    <col min="4101" max="4101" width="7.85546875" style="1" customWidth="1"/>
    <col min="4102" max="4102" width="22.140625" style="1" customWidth="1"/>
    <col min="4103" max="4103" width="8.7109375" style="1" customWidth="1"/>
    <col min="4104" max="4104" width="8.140625" style="1" customWidth="1"/>
    <col min="4105" max="4105" width="13" style="1" customWidth="1"/>
    <col min="4106" max="4106" width="13.5703125" style="1" customWidth="1"/>
    <col min="4107" max="4108" width="13.28515625" style="1" customWidth="1"/>
    <col min="4109" max="4109" width="6.7109375" style="1" customWidth="1"/>
    <col min="4110" max="4110" width="8.140625" style="1" customWidth="1"/>
    <col min="4111" max="4111" width="7.28515625" style="1" customWidth="1"/>
    <col min="4112" max="4112" width="15" style="1" customWidth="1"/>
    <col min="4113" max="4113" width="3.85546875" style="1" customWidth="1"/>
    <col min="4114" max="4114" width="10.85546875" style="1" bestFit="1" customWidth="1"/>
    <col min="4115" max="4115" width="10.5703125" style="1" bestFit="1" customWidth="1"/>
    <col min="4116" max="4116" width="20.85546875" style="1" bestFit="1" customWidth="1"/>
    <col min="4117" max="4117" width="19.85546875" style="1" bestFit="1" customWidth="1"/>
    <col min="4118" max="4118" width="12" style="1" bestFit="1" customWidth="1"/>
    <col min="4119" max="4353" width="9.140625" style="1"/>
    <col min="4354" max="4354" width="5.28515625" style="1" customWidth="1"/>
    <col min="4355" max="4356" width="9.5703125" style="1" customWidth="1"/>
    <col min="4357" max="4357" width="7.85546875" style="1" customWidth="1"/>
    <col min="4358" max="4358" width="22.140625" style="1" customWidth="1"/>
    <col min="4359" max="4359" width="8.7109375" style="1" customWidth="1"/>
    <col min="4360" max="4360" width="8.140625" style="1" customWidth="1"/>
    <col min="4361" max="4361" width="13" style="1" customWidth="1"/>
    <col min="4362" max="4362" width="13.5703125" style="1" customWidth="1"/>
    <col min="4363" max="4364" width="13.28515625" style="1" customWidth="1"/>
    <col min="4365" max="4365" width="6.7109375" style="1" customWidth="1"/>
    <col min="4366" max="4366" width="8.140625" style="1" customWidth="1"/>
    <col min="4367" max="4367" width="7.28515625" style="1" customWidth="1"/>
    <col min="4368" max="4368" width="15" style="1" customWidth="1"/>
    <col min="4369" max="4369" width="3.85546875" style="1" customWidth="1"/>
    <col min="4370" max="4370" width="10.85546875" style="1" bestFit="1" customWidth="1"/>
    <col min="4371" max="4371" width="10.5703125" style="1" bestFit="1" customWidth="1"/>
    <col min="4372" max="4372" width="20.85546875" style="1" bestFit="1" customWidth="1"/>
    <col min="4373" max="4373" width="19.85546875" style="1" bestFit="1" customWidth="1"/>
    <col min="4374" max="4374" width="12" style="1" bestFit="1" customWidth="1"/>
    <col min="4375" max="4609" width="9.140625" style="1"/>
    <col min="4610" max="4610" width="5.28515625" style="1" customWidth="1"/>
    <col min="4611" max="4612" width="9.5703125" style="1" customWidth="1"/>
    <col min="4613" max="4613" width="7.85546875" style="1" customWidth="1"/>
    <col min="4614" max="4614" width="22.140625" style="1" customWidth="1"/>
    <col min="4615" max="4615" width="8.7109375" style="1" customWidth="1"/>
    <col min="4616" max="4616" width="8.140625" style="1" customWidth="1"/>
    <col min="4617" max="4617" width="13" style="1" customWidth="1"/>
    <col min="4618" max="4618" width="13.5703125" style="1" customWidth="1"/>
    <col min="4619" max="4620" width="13.28515625" style="1" customWidth="1"/>
    <col min="4621" max="4621" width="6.7109375" style="1" customWidth="1"/>
    <col min="4622" max="4622" width="8.140625" style="1" customWidth="1"/>
    <col min="4623" max="4623" width="7.28515625" style="1" customWidth="1"/>
    <col min="4624" max="4624" width="15" style="1" customWidth="1"/>
    <col min="4625" max="4625" width="3.85546875" style="1" customWidth="1"/>
    <col min="4626" max="4626" width="10.85546875" style="1" bestFit="1" customWidth="1"/>
    <col min="4627" max="4627" width="10.5703125" style="1" bestFit="1" customWidth="1"/>
    <col min="4628" max="4628" width="20.85546875" style="1" bestFit="1" customWidth="1"/>
    <col min="4629" max="4629" width="19.85546875" style="1" bestFit="1" customWidth="1"/>
    <col min="4630" max="4630" width="12" style="1" bestFit="1" customWidth="1"/>
    <col min="4631" max="4865" width="9.140625" style="1"/>
    <col min="4866" max="4866" width="5.28515625" style="1" customWidth="1"/>
    <col min="4867" max="4868" width="9.5703125" style="1" customWidth="1"/>
    <col min="4869" max="4869" width="7.85546875" style="1" customWidth="1"/>
    <col min="4870" max="4870" width="22.140625" style="1" customWidth="1"/>
    <col min="4871" max="4871" width="8.7109375" style="1" customWidth="1"/>
    <col min="4872" max="4872" width="8.140625" style="1" customWidth="1"/>
    <col min="4873" max="4873" width="13" style="1" customWidth="1"/>
    <col min="4874" max="4874" width="13.5703125" style="1" customWidth="1"/>
    <col min="4875" max="4876" width="13.28515625" style="1" customWidth="1"/>
    <col min="4877" max="4877" width="6.7109375" style="1" customWidth="1"/>
    <col min="4878" max="4878" width="8.140625" style="1" customWidth="1"/>
    <col min="4879" max="4879" width="7.28515625" style="1" customWidth="1"/>
    <col min="4880" max="4880" width="15" style="1" customWidth="1"/>
    <col min="4881" max="4881" width="3.85546875" style="1" customWidth="1"/>
    <col min="4882" max="4882" width="10.85546875" style="1" bestFit="1" customWidth="1"/>
    <col min="4883" max="4883" width="10.5703125" style="1" bestFit="1" customWidth="1"/>
    <col min="4884" max="4884" width="20.85546875" style="1" bestFit="1" customWidth="1"/>
    <col min="4885" max="4885" width="19.85546875" style="1" bestFit="1" customWidth="1"/>
    <col min="4886" max="4886" width="12" style="1" bestFit="1" customWidth="1"/>
    <col min="4887" max="5121" width="9.140625" style="1"/>
    <col min="5122" max="5122" width="5.28515625" style="1" customWidth="1"/>
    <col min="5123" max="5124" width="9.5703125" style="1" customWidth="1"/>
    <col min="5125" max="5125" width="7.85546875" style="1" customWidth="1"/>
    <col min="5126" max="5126" width="22.140625" style="1" customWidth="1"/>
    <col min="5127" max="5127" width="8.7109375" style="1" customWidth="1"/>
    <col min="5128" max="5128" width="8.140625" style="1" customWidth="1"/>
    <col min="5129" max="5129" width="13" style="1" customWidth="1"/>
    <col min="5130" max="5130" width="13.5703125" style="1" customWidth="1"/>
    <col min="5131" max="5132" width="13.28515625" style="1" customWidth="1"/>
    <col min="5133" max="5133" width="6.7109375" style="1" customWidth="1"/>
    <col min="5134" max="5134" width="8.140625" style="1" customWidth="1"/>
    <col min="5135" max="5135" width="7.28515625" style="1" customWidth="1"/>
    <col min="5136" max="5136" width="15" style="1" customWidth="1"/>
    <col min="5137" max="5137" width="3.85546875" style="1" customWidth="1"/>
    <col min="5138" max="5138" width="10.85546875" style="1" bestFit="1" customWidth="1"/>
    <col min="5139" max="5139" width="10.5703125" style="1" bestFit="1" customWidth="1"/>
    <col min="5140" max="5140" width="20.85546875" style="1" bestFit="1" customWidth="1"/>
    <col min="5141" max="5141" width="19.85546875" style="1" bestFit="1" customWidth="1"/>
    <col min="5142" max="5142" width="12" style="1" bestFit="1" customWidth="1"/>
    <col min="5143" max="5377" width="9.140625" style="1"/>
    <col min="5378" max="5378" width="5.28515625" style="1" customWidth="1"/>
    <col min="5379" max="5380" width="9.5703125" style="1" customWidth="1"/>
    <col min="5381" max="5381" width="7.85546875" style="1" customWidth="1"/>
    <col min="5382" max="5382" width="22.140625" style="1" customWidth="1"/>
    <col min="5383" max="5383" width="8.7109375" style="1" customWidth="1"/>
    <col min="5384" max="5384" width="8.140625" style="1" customWidth="1"/>
    <col min="5385" max="5385" width="13" style="1" customWidth="1"/>
    <col min="5386" max="5386" width="13.5703125" style="1" customWidth="1"/>
    <col min="5387" max="5388" width="13.28515625" style="1" customWidth="1"/>
    <col min="5389" max="5389" width="6.7109375" style="1" customWidth="1"/>
    <col min="5390" max="5390" width="8.140625" style="1" customWidth="1"/>
    <col min="5391" max="5391" width="7.28515625" style="1" customWidth="1"/>
    <col min="5392" max="5392" width="15" style="1" customWidth="1"/>
    <col min="5393" max="5393" width="3.85546875" style="1" customWidth="1"/>
    <col min="5394" max="5394" width="10.85546875" style="1" bestFit="1" customWidth="1"/>
    <col min="5395" max="5395" width="10.5703125" style="1" bestFit="1" customWidth="1"/>
    <col min="5396" max="5396" width="20.85546875" style="1" bestFit="1" customWidth="1"/>
    <col min="5397" max="5397" width="19.85546875" style="1" bestFit="1" customWidth="1"/>
    <col min="5398" max="5398" width="12" style="1" bestFit="1" customWidth="1"/>
    <col min="5399" max="5633" width="9.140625" style="1"/>
    <col min="5634" max="5634" width="5.28515625" style="1" customWidth="1"/>
    <col min="5635" max="5636" width="9.5703125" style="1" customWidth="1"/>
    <col min="5637" max="5637" width="7.85546875" style="1" customWidth="1"/>
    <col min="5638" max="5638" width="22.140625" style="1" customWidth="1"/>
    <col min="5639" max="5639" width="8.7109375" style="1" customWidth="1"/>
    <col min="5640" max="5640" width="8.140625" style="1" customWidth="1"/>
    <col min="5641" max="5641" width="13" style="1" customWidth="1"/>
    <col min="5642" max="5642" width="13.5703125" style="1" customWidth="1"/>
    <col min="5643" max="5644" width="13.28515625" style="1" customWidth="1"/>
    <col min="5645" max="5645" width="6.7109375" style="1" customWidth="1"/>
    <col min="5646" max="5646" width="8.140625" style="1" customWidth="1"/>
    <col min="5647" max="5647" width="7.28515625" style="1" customWidth="1"/>
    <col min="5648" max="5648" width="15" style="1" customWidth="1"/>
    <col min="5649" max="5649" width="3.85546875" style="1" customWidth="1"/>
    <col min="5650" max="5650" width="10.85546875" style="1" bestFit="1" customWidth="1"/>
    <col min="5651" max="5651" width="10.5703125" style="1" bestFit="1" customWidth="1"/>
    <col min="5652" max="5652" width="20.85546875" style="1" bestFit="1" customWidth="1"/>
    <col min="5653" max="5653" width="19.85546875" style="1" bestFit="1" customWidth="1"/>
    <col min="5654" max="5654" width="12" style="1" bestFit="1" customWidth="1"/>
    <col min="5655" max="5889" width="9.140625" style="1"/>
    <col min="5890" max="5890" width="5.28515625" style="1" customWidth="1"/>
    <col min="5891" max="5892" width="9.5703125" style="1" customWidth="1"/>
    <col min="5893" max="5893" width="7.85546875" style="1" customWidth="1"/>
    <col min="5894" max="5894" width="22.140625" style="1" customWidth="1"/>
    <col min="5895" max="5895" width="8.7109375" style="1" customWidth="1"/>
    <col min="5896" max="5896" width="8.140625" style="1" customWidth="1"/>
    <col min="5897" max="5897" width="13" style="1" customWidth="1"/>
    <col min="5898" max="5898" width="13.5703125" style="1" customWidth="1"/>
    <col min="5899" max="5900" width="13.28515625" style="1" customWidth="1"/>
    <col min="5901" max="5901" width="6.7109375" style="1" customWidth="1"/>
    <col min="5902" max="5902" width="8.140625" style="1" customWidth="1"/>
    <col min="5903" max="5903" width="7.28515625" style="1" customWidth="1"/>
    <col min="5904" max="5904" width="15" style="1" customWidth="1"/>
    <col min="5905" max="5905" width="3.85546875" style="1" customWidth="1"/>
    <col min="5906" max="5906" width="10.85546875" style="1" bestFit="1" customWidth="1"/>
    <col min="5907" max="5907" width="10.5703125" style="1" bestFit="1" customWidth="1"/>
    <col min="5908" max="5908" width="20.85546875" style="1" bestFit="1" customWidth="1"/>
    <col min="5909" max="5909" width="19.85546875" style="1" bestFit="1" customWidth="1"/>
    <col min="5910" max="5910" width="12" style="1" bestFit="1" customWidth="1"/>
    <col min="5911" max="6145" width="9.140625" style="1"/>
    <col min="6146" max="6146" width="5.28515625" style="1" customWidth="1"/>
    <col min="6147" max="6148" width="9.5703125" style="1" customWidth="1"/>
    <col min="6149" max="6149" width="7.85546875" style="1" customWidth="1"/>
    <col min="6150" max="6150" width="22.140625" style="1" customWidth="1"/>
    <col min="6151" max="6151" width="8.7109375" style="1" customWidth="1"/>
    <col min="6152" max="6152" width="8.140625" style="1" customWidth="1"/>
    <col min="6153" max="6153" width="13" style="1" customWidth="1"/>
    <col min="6154" max="6154" width="13.5703125" style="1" customWidth="1"/>
    <col min="6155" max="6156" width="13.28515625" style="1" customWidth="1"/>
    <col min="6157" max="6157" width="6.7109375" style="1" customWidth="1"/>
    <col min="6158" max="6158" width="8.140625" style="1" customWidth="1"/>
    <col min="6159" max="6159" width="7.28515625" style="1" customWidth="1"/>
    <col min="6160" max="6160" width="15" style="1" customWidth="1"/>
    <col min="6161" max="6161" width="3.85546875" style="1" customWidth="1"/>
    <col min="6162" max="6162" width="10.85546875" style="1" bestFit="1" customWidth="1"/>
    <col min="6163" max="6163" width="10.5703125" style="1" bestFit="1" customWidth="1"/>
    <col min="6164" max="6164" width="20.85546875" style="1" bestFit="1" customWidth="1"/>
    <col min="6165" max="6165" width="19.85546875" style="1" bestFit="1" customWidth="1"/>
    <col min="6166" max="6166" width="12" style="1" bestFit="1" customWidth="1"/>
    <col min="6167" max="6401" width="9.140625" style="1"/>
    <col min="6402" max="6402" width="5.28515625" style="1" customWidth="1"/>
    <col min="6403" max="6404" width="9.5703125" style="1" customWidth="1"/>
    <col min="6405" max="6405" width="7.85546875" style="1" customWidth="1"/>
    <col min="6406" max="6406" width="22.140625" style="1" customWidth="1"/>
    <col min="6407" max="6407" width="8.7109375" style="1" customWidth="1"/>
    <col min="6408" max="6408" width="8.140625" style="1" customWidth="1"/>
    <col min="6409" max="6409" width="13" style="1" customWidth="1"/>
    <col min="6410" max="6410" width="13.5703125" style="1" customWidth="1"/>
    <col min="6411" max="6412" width="13.28515625" style="1" customWidth="1"/>
    <col min="6413" max="6413" width="6.7109375" style="1" customWidth="1"/>
    <col min="6414" max="6414" width="8.140625" style="1" customWidth="1"/>
    <col min="6415" max="6415" width="7.28515625" style="1" customWidth="1"/>
    <col min="6416" max="6416" width="15" style="1" customWidth="1"/>
    <col min="6417" max="6417" width="3.85546875" style="1" customWidth="1"/>
    <col min="6418" max="6418" width="10.85546875" style="1" bestFit="1" customWidth="1"/>
    <col min="6419" max="6419" width="10.5703125" style="1" bestFit="1" customWidth="1"/>
    <col min="6420" max="6420" width="20.85546875" style="1" bestFit="1" customWidth="1"/>
    <col min="6421" max="6421" width="19.85546875" style="1" bestFit="1" customWidth="1"/>
    <col min="6422" max="6422" width="12" style="1" bestFit="1" customWidth="1"/>
    <col min="6423" max="6657" width="9.140625" style="1"/>
    <col min="6658" max="6658" width="5.28515625" style="1" customWidth="1"/>
    <col min="6659" max="6660" width="9.5703125" style="1" customWidth="1"/>
    <col min="6661" max="6661" width="7.85546875" style="1" customWidth="1"/>
    <col min="6662" max="6662" width="22.140625" style="1" customWidth="1"/>
    <col min="6663" max="6663" width="8.7109375" style="1" customWidth="1"/>
    <col min="6664" max="6664" width="8.140625" style="1" customWidth="1"/>
    <col min="6665" max="6665" width="13" style="1" customWidth="1"/>
    <col min="6666" max="6666" width="13.5703125" style="1" customWidth="1"/>
    <col min="6667" max="6668" width="13.28515625" style="1" customWidth="1"/>
    <col min="6669" max="6669" width="6.7109375" style="1" customWidth="1"/>
    <col min="6670" max="6670" width="8.140625" style="1" customWidth="1"/>
    <col min="6671" max="6671" width="7.28515625" style="1" customWidth="1"/>
    <col min="6672" max="6672" width="15" style="1" customWidth="1"/>
    <col min="6673" max="6673" width="3.85546875" style="1" customWidth="1"/>
    <col min="6674" max="6674" width="10.85546875" style="1" bestFit="1" customWidth="1"/>
    <col min="6675" max="6675" width="10.5703125" style="1" bestFit="1" customWidth="1"/>
    <col min="6676" max="6676" width="20.85546875" style="1" bestFit="1" customWidth="1"/>
    <col min="6677" max="6677" width="19.85546875" style="1" bestFit="1" customWidth="1"/>
    <col min="6678" max="6678" width="12" style="1" bestFit="1" customWidth="1"/>
    <col min="6679" max="6913" width="9.140625" style="1"/>
    <col min="6914" max="6914" width="5.28515625" style="1" customWidth="1"/>
    <col min="6915" max="6916" width="9.5703125" style="1" customWidth="1"/>
    <col min="6917" max="6917" width="7.85546875" style="1" customWidth="1"/>
    <col min="6918" max="6918" width="22.140625" style="1" customWidth="1"/>
    <col min="6919" max="6919" width="8.7109375" style="1" customWidth="1"/>
    <col min="6920" max="6920" width="8.140625" style="1" customWidth="1"/>
    <col min="6921" max="6921" width="13" style="1" customWidth="1"/>
    <col min="6922" max="6922" width="13.5703125" style="1" customWidth="1"/>
    <col min="6923" max="6924" width="13.28515625" style="1" customWidth="1"/>
    <col min="6925" max="6925" width="6.7109375" style="1" customWidth="1"/>
    <col min="6926" max="6926" width="8.140625" style="1" customWidth="1"/>
    <col min="6927" max="6927" width="7.28515625" style="1" customWidth="1"/>
    <col min="6928" max="6928" width="15" style="1" customWidth="1"/>
    <col min="6929" max="6929" width="3.85546875" style="1" customWidth="1"/>
    <col min="6930" max="6930" width="10.85546875" style="1" bestFit="1" customWidth="1"/>
    <col min="6931" max="6931" width="10.5703125" style="1" bestFit="1" customWidth="1"/>
    <col min="6932" max="6932" width="20.85546875" style="1" bestFit="1" customWidth="1"/>
    <col min="6933" max="6933" width="19.85546875" style="1" bestFit="1" customWidth="1"/>
    <col min="6934" max="6934" width="12" style="1" bestFit="1" customWidth="1"/>
    <col min="6935" max="7169" width="9.140625" style="1"/>
    <col min="7170" max="7170" width="5.28515625" style="1" customWidth="1"/>
    <col min="7171" max="7172" width="9.5703125" style="1" customWidth="1"/>
    <col min="7173" max="7173" width="7.85546875" style="1" customWidth="1"/>
    <col min="7174" max="7174" width="22.140625" style="1" customWidth="1"/>
    <col min="7175" max="7175" width="8.7109375" style="1" customWidth="1"/>
    <col min="7176" max="7176" width="8.140625" style="1" customWidth="1"/>
    <col min="7177" max="7177" width="13" style="1" customWidth="1"/>
    <col min="7178" max="7178" width="13.5703125" style="1" customWidth="1"/>
    <col min="7179" max="7180" width="13.28515625" style="1" customWidth="1"/>
    <col min="7181" max="7181" width="6.7109375" style="1" customWidth="1"/>
    <col min="7182" max="7182" width="8.140625" style="1" customWidth="1"/>
    <col min="7183" max="7183" width="7.28515625" style="1" customWidth="1"/>
    <col min="7184" max="7184" width="15" style="1" customWidth="1"/>
    <col min="7185" max="7185" width="3.85546875" style="1" customWidth="1"/>
    <col min="7186" max="7186" width="10.85546875" style="1" bestFit="1" customWidth="1"/>
    <col min="7187" max="7187" width="10.5703125" style="1" bestFit="1" customWidth="1"/>
    <col min="7188" max="7188" width="20.85546875" style="1" bestFit="1" customWidth="1"/>
    <col min="7189" max="7189" width="19.85546875" style="1" bestFit="1" customWidth="1"/>
    <col min="7190" max="7190" width="12" style="1" bestFit="1" customWidth="1"/>
    <col min="7191" max="7425" width="9.140625" style="1"/>
    <col min="7426" max="7426" width="5.28515625" style="1" customWidth="1"/>
    <col min="7427" max="7428" width="9.5703125" style="1" customWidth="1"/>
    <col min="7429" max="7429" width="7.85546875" style="1" customWidth="1"/>
    <col min="7430" max="7430" width="22.140625" style="1" customWidth="1"/>
    <col min="7431" max="7431" width="8.7109375" style="1" customWidth="1"/>
    <col min="7432" max="7432" width="8.140625" style="1" customWidth="1"/>
    <col min="7433" max="7433" width="13" style="1" customWidth="1"/>
    <col min="7434" max="7434" width="13.5703125" style="1" customWidth="1"/>
    <col min="7435" max="7436" width="13.28515625" style="1" customWidth="1"/>
    <col min="7437" max="7437" width="6.7109375" style="1" customWidth="1"/>
    <col min="7438" max="7438" width="8.140625" style="1" customWidth="1"/>
    <col min="7439" max="7439" width="7.28515625" style="1" customWidth="1"/>
    <col min="7440" max="7440" width="15" style="1" customWidth="1"/>
    <col min="7441" max="7441" width="3.85546875" style="1" customWidth="1"/>
    <col min="7442" max="7442" width="10.85546875" style="1" bestFit="1" customWidth="1"/>
    <col min="7443" max="7443" width="10.5703125" style="1" bestFit="1" customWidth="1"/>
    <col min="7444" max="7444" width="20.85546875" style="1" bestFit="1" customWidth="1"/>
    <col min="7445" max="7445" width="19.85546875" style="1" bestFit="1" customWidth="1"/>
    <col min="7446" max="7446" width="12" style="1" bestFit="1" customWidth="1"/>
    <col min="7447" max="7681" width="9.140625" style="1"/>
    <col min="7682" max="7682" width="5.28515625" style="1" customWidth="1"/>
    <col min="7683" max="7684" width="9.5703125" style="1" customWidth="1"/>
    <col min="7685" max="7685" width="7.85546875" style="1" customWidth="1"/>
    <col min="7686" max="7686" width="22.140625" style="1" customWidth="1"/>
    <col min="7687" max="7687" width="8.7109375" style="1" customWidth="1"/>
    <col min="7688" max="7688" width="8.140625" style="1" customWidth="1"/>
    <col min="7689" max="7689" width="13" style="1" customWidth="1"/>
    <col min="7690" max="7690" width="13.5703125" style="1" customWidth="1"/>
    <col min="7691" max="7692" width="13.28515625" style="1" customWidth="1"/>
    <col min="7693" max="7693" width="6.7109375" style="1" customWidth="1"/>
    <col min="7694" max="7694" width="8.140625" style="1" customWidth="1"/>
    <col min="7695" max="7695" width="7.28515625" style="1" customWidth="1"/>
    <col min="7696" max="7696" width="15" style="1" customWidth="1"/>
    <col min="7697" max="7697" width="3.85546875" style="1" customWidth="1"/>
    <col min="7698" max="7698" width="10.85546875" style="1" bestFit="1" customWidth="1"/>
    <col min="7699" max="7699" width="10.5703125" style="1" bestFit="1" customWidth="1"/>
    <col min="7700" max="7700" width="20.85546875" style="1" bestFit="1" customWidth="1"/>
    <col min="7701" max="7701" width="19.85546875" style="1" bestFit="1" customWidth="1"/>
    <col min="7702" max="7702" width="12" style="1" bestFit="1" customWidth="1"/>
    <col min="7703" max="7937" width="9.140625" style="1"/>
    <col min="7938" max="7938" width="5.28515625" style="1" customWidth="1"/>
    <col min="7939" max="7940" width="9.5703125" style="1" customWidth="1"/>
    <col min="7941" max="7941" width="7.85546875" style="1" customWidth="1"/>
    <col min="7942" max="7942" width="22.140625" style="1" customWidth="1"/>
    <col min="7943" max="7943" width="8.7109375" style="1" customWidth="1"/>
    <col min="7944" max="7944" width="8.140625" style="1" customWidth="1"/>
    <col min="7945" max="7945" width="13" style="1" customWidth="1"/>
    <col min="7946" max="7946" width="13.5703125" style="1" customWidth="1"/>
    <col min="7947" max="7948" width="13.28515625" style="1" customWidth="1"/>
    <col min="7949" max="7949" width="6.7109375" style="1" customWidth="1"/>
    <col min="7950" max="7950" width="8.140625" style="1" customWidth="1"/>
    <col min="7951" max="7951" width="7.28515625" style="1" customWidth="1"/>
    <col min="7952" max="7952" width="15" style="1" customWidth="1"/>
    <col min="7953" max="7953" width="3.85546875" style="1" customWidth="1"/>
    <col min="7954" max="7954" width="10.85546875" style="1" bestFit="1" customWidth="1"/>
    <col min="7955" max="7955" width="10.5703125" style="1" bestFit="1" customWidth="1"/>
    <col min="7956" max="7956" width="20.85546875" style="1" bestFit="1" customWidth="1"/>
    <col min="7957" max="7957" width="19.85546875" style="1" bestFit="1" customWidth="1"/>
    <col min="7958" max="7958" width="12" style="1" bestFit="1" customWidth="1"/>
    <col min="7959" max="8193" width="9.140625" style="1"/>
    <col min="8194" max="8194" width="5.28515625" style="1" customWidth="1"/>
    <col min="8195" max="8196" width="9.5703125" style="1" customWidth="1"/>
    <col min="8197" max="8197" width="7.85546875" style="1" customWidth="1"/>
    <col min="8198" max="8198" width="22.140625" style="1" customWidth="1"/>
    <col min="8199" max="8199" width="8.7109375" style="1" customWidth="1"/>
    <col min="8200" max="8200" width="8.140625" style="1" customWidth="1"/>
    <col min="8201" max="8201" width="13" style="1" customWidth="1"/>
    <col min="8202" max="8202" width="13.5703125" style="1" customWidth="1"/>
    <col min="8203" max="8204" width="13.28515625" style="1" customWidth="1"/>
    <col min="8205" max="8205" width="6.7109375" style="1" customWidth="1"/>
    <col min="8206" max="8206" width="8.140625" style="1" customWidth="1"/>
    <col min="8207" max="8207" width="7.28515625" style="1" customWidth="1"/>
    <col min="8208" max="8208" width="15" style="1" customWidth="1"/>
    <col min="8209" max="8209" width="3.85546875" style="1" customWidth="1"/>
    <col min="8210" max="8210" width="10.85546875" style="1" bestFit="1" customWidth="1"/>
    <col min="8211" max="8211" width="10.5703125" style="1" bestFit="1" customWidth="1"/>
    <col min="8212" max="8212" width="20.85546875" style="1" bestFit="1" customWidth="1"/>
    <col min="8213" max="8213" width="19.85546875" style="1" bestFit="1" customWidth="1"/>
    <col min="8214" max="8214" width="12" style="1" bestFit="1" customWidth="1"/>
    <col min="8215" max="8449" width="9.140625" style="1"/>
    <col min="8450" max="8450" width="5.28515625" style="1" customWidth="1"/>
    <col min="8451" max="8452" width="9.5703125" style="1" customWidth="1"/>
    <col min="8453" max="8453" width="7.85546875" style="1" customWidth="1"/>
    <col min="8454" max="8454" width="22.140625" style="1" customWidth="1"/>
    <col min="8455" max="8455" width="8.7109375" style="1" customWidth="1"/>
    <col min="8456" max="8456" width="8.140625" style="1" customWidth="1"/>
    <col min="8457" max="8457" width="13" style="1" customWidth="1"/>
    <col min="8458" max="8458" width="13.5703125" style="1" customWidth="1"/>
    <col min="8459" max="8460" width="13.28515625" style="1" customWidth="1"/>
    <col min="8461" max="8461" width="6.7109375" style="1" customWidth="1"/>
    <col min="8462" max="8462" width="8.140625" style="1" customWidth="1"/>
    <col min="8463" max="8463" width="7.28515625" style="1" customWidth="1"/>
    <col min="8464" max="8464" width="15" style="1" customWidth="1"/>
    <col min="8465" max="8465" width="3.85546875" style="1" customWidth="1"/>
    <col min="8466" max="8466" width="10.85546875" style="1" bestFit="1" customWidth="1"/>
    <col min="8467" max="8467" width="10.5703125" style="1" bestFit="1" customWidth="1"/>
    <col min="8468" max="8468" width="20.85546875" style="1" bestFit="1" customWidth="1"/>
    <col min="8469" max="8469" width="19.85546875" style="1" bestFit="1" customWidth="1"/>
    <col min="8470" max="8470" width="12" style="1" bestFit="1" customWidth="1"/>
    <col min="8471" max="8705" width="9.140625" style="1"/>
    <col min="8706" max="8706" width="5.28515625" style="1" customWidth="1"/>
    <col min="8707" max="8708" width="9.5703125" style="1" customWidth="1"/>
    <col min="8709" max="8709" width="7.85546875" style="1" customWidth="1"/>
    <col min="8710" max="8710" width="22.140625" style="1" customWidth="1"/>
    <col min="8711" max="8711" width="8.7109375" style="1" customWidth="1"/>
    <col min="8712" max="8712" width="8.140625" style="1" customWidth="1"/>
    <col min="8713" max="8713" width="13" style="1" customWidth="1"/>
    <col min="8714" max="8714" width="13.5703125" style="1" customWidth="1"/>
    <col min="8715" max="8716" width="13.28515625" style="1" customWidth="1"/>
    <col min="8717" max="8717" width="6.7109375" style="1" customWidth="1"/>
    <col min="8718" max="8718" width="8.140625" style="1" customWidth="1"/>
    <col min="8719" max="8719" width="7.28515625" style="1" customWidth="1"/>
    <col min="8720" max="8720" width="15" style="1" customWidth="1"/>
    <col min="8721" max="8721" width="3.85546875" style="1" customWidth="1"/>
    <col min="8722" max="8722" width="10.85546875" style="1" bestFit="1" customWidth="1"/>
    <col min="8723" max="8723" width="10.5703125" style="1" bestFit="1" customWidth="1"/>
    <col min="8724" max="8724" width="20.85546875" style="1" bestFit="1" customWidth="1"/>
    <col min="8725" max="8725" width="19.85546875" style="1" bestFit="1" customWidth="1"/>
    <col min="8726" max="8726" width="12" style="1" bestFit="1" customWidth="1"/>
    <col min="8727" max="8961" width="9.140625" style="1"/>
    <col min="8962" max="8962" width="5.28515625" style="1" customWidth="1"/>
    <col min="8963" max="8964" width="9.5703125" style="1" customWidth="1"/>
    <col min="8965" max="8965" width="7.85546875" style="1" customWidth="1"/>
    <col min="8966" max="8966" width="22.140625" style="1" customWidth="1"/>
    <col min="8967" max="8967" width="8.7109375" style="1" customWidth="1"/>
    <col min="8968" max="8968" width="8.140625" style="1" customWidth="1"/>
    <col min="8969" max="8969" width="13" style="1" customWidth="1"/>
    <col min="8970" max="8970" width="13.5703125" style="1" customWidth="1"/>
    <col min="8971" max="8972" width="13.28515625" style="1" customWidth="1"/>
    <col min="8973" max="8973" width="6.7109375" style="1" customWidth="1"/>
    <col min="8974" max="8974" width="8.140625" style="1" customWidth="1"/>
    <col min="8975" max="8975" width="7.28515625" style="1" customWidth="1"/>
    <col min="8976" max="8976" width="15" style="1" customWidth="1"/>
    <col min="8977" max="8977" width="3.85546875" style="1" customWidth="1"/>
    <col min="8978" max="8978" width="10.85546875" style="1" bestFit="1" customWidth="1"/>
    <col min="8979" max="8979" width="10.5703125" style="1" bestFit="1" customWidth="1"/>
    <col min="8980" max="8980" width="20.85546875" style="1" bestFit="1" customWidth="1"/>
    <col min="8981" max="8981" width="19.85546875" style="1" bestFit="1" customWidth="1"/>
    <col min="8982" max="8982" width="12" style="1" bestFit="1" customWidth="1"/>
    <col min="8983" max="9217" width="9.140625" style="1"/>
    <col min="9218" max="9218" width="5.28515625" style="1" customWidth="1"/>
    <col min="9219" max="9220" width="9.5703125" style="1" customWidth="1"/>
    <col min="9221" max="9221" width="7.85546875" style="1" customWidth="1"/>
    <col min="9222" max="9222" width="22.140625" style="1" customWidth="1"/>
    <col min="9223" max="9223" width="8.7109375" style="1" customWidth="1"/>
    <col min="9224" max="9224" width="8.140625" style="1" customWidth="1"/>
    <col min="9225" max="9225" width="13" style="1" customWidth="1"/>
    <col min="9226" max="9226" width="13.5703125" style="1" customWidth="1"/>
    <col min="9227" max="9228" width="13.28515625" style="1" customWidth="1"/>
    <col min="9229" max="9229" width="6.7109375" style="1" customWidth="1"/>
    <col min="9230" max="9230" width="8.140625" style="1" customWidth="1"/>
    <col min="9231" max="9231" width="7.28515625" style="1" customWidth="1"/>
    <col min="9232" max="9232" width="15" style="1" customWidth="1"/>
    <col min="9233" max="9233" width="3.85546875" style="1" customWidth="1"/>
    <col min="9234" max="9234" width="10.85546875" style="1" bestFit="1" customWidth="1"/>
    <col min="9235" max="9235" width="10.5703125" style="1" bestFit="1" customWidth="1"/>
    <col min="9236" max="9236" width="20.85546875" style="1" bestFit="1" customWidth="1"/>
    <col min="9237" max="9237" width="19.85546875" style="1" bestFit="1" customWidth="1"/>
    <col min="9238" max="9238" width="12" style="1" bestFit="1" customWidth="1"/>
    <col min="9239" max="9473" width="9.140625" style="1"/>
    <col min="9474" max="9474" width="5.28515625" style="1" customWidth="1"/>
    <col min="9475" max="9476" width="9.5703125" style="1" customWidth="1"/>
    <col min="9477" max="9477" width="7.85546875" style="1" customWidth="1"/>
    <col min="9478" max="9478" width="22.140625" style="1" customWidth="1"/>
    <col min="9479" max="9479" width="8.7109375" style="1" customWidth="1"/>
    <col min="9480" max="9480" width="8.140625" style="1" customWidth="1"/>
    <col min="9481" max="9481" width="13" style="1" customWidth="1"/>
    <col min="9482" max="9482" width="13.5703125" style="1" customWidth="1"/>
    <col min="9483" max="9484" width="13.28515625" style="1" customWidth="1"/>
    <col min="9485" max="9485" width="6.7109375" style="1" customWidth="1"/>
    <col min="9486" max="9486" width="8.140625" style="1" customWidth="1"/>
    <col min="9487" max="9487" width="7.28515625" style="1" customWidth="1"/>
    <col min="9488" max="9488" width="15" style="1" customWidth="1"/>
    <col min="9489" max="9489" width="3.85546875" style="1" customWidth="1"/>
    <col min="9490" max="9490" width="10.85546875" style="1" bestFit="1" customWidth="1"/>
    <col min="9491" max="9491" width="10.5703125" style="1" bestFit="1" customWidth="1"/>
    <col min="9492" max="9492" width="20.85546875" style="1" bestFit="1" customWidth="1"/>
    <col min="9493" max="9493" width="19.85546875" style="1" bestFit="1" customWidth="1"/>
    <col min="9494" max="9494" width="12" style="1" bestFit="1" customWidth="1"/>
    <col min="9495" max="9729" width="9.140625" style="1"/>
    <col min="9730" max="9730" width="5.28515625" style="1" customWidth="1"/>
    <col min="9731" max="9732" width="9.5703125" style="1" customWidth="1"/>
    <col min="9733" max="9733" width="7.85546875" style="1" customWidth="1"/>
    <col min="9734" max="9734" width="22.140625" style="1" customWidth="1"/>
    <col min="9735" max="9735" width="8.7109375" style="1" customWidth="1"/>
    <col min="9736" max="9736" width="8.140625" style="1" customWidth="1"/>
    <col min="9737" max="9737" width="13" style="1" customWidth="1"/>
    <col min="9738" max="9738" width="13.5703125" style="1" customWidth="1"/>
    <col min="9739" max="9740" width="13.28515625" style="1" customWidth="1"/>
    <col min="9741" max="9741" width="6.7109375" style="1" customWidth="1"/>
    <col min="9742" max="9742" width="8.140625" style="1" customWidth="1"/>
    <col min="9743" max="9743" width="7.28515625" style="1" customWidth="1"/>
    <col min="9744" max="9744" width="15" style="1" customWidth="1"/>
    <col min="9745" max="9745" width="3.85546875" style="1" customWidth="1"/>
    <col min="9746" max="9746" width="10.85546875" style="1" bestFit="1" customWidth="1"/>
    <col min="9747" max="9747" width="10.5703125" style="1" bestFit="1" customWidth="1"/>
    <col min="9748" max="9748" width="20.85546875" style="1" bestFit="1" customWidth="1"/>
    <col min="9749" max="9749" width="19.85546875" style="1" bestFit="1" customWidth="1"/>
    <col min="9750" max="9750" width="12" style="1" bestFit="1" customWidth="1"/>
    <col min="9751" max="9985" width="9.140625" style="1"/>
    <col min="9986" max="9986" width="5.28515625" style="1" customWidth="1"/>
    <col min="9987" max="9988" width="9.5703125" style="1" customWidth="1"/>
    <col min="9989" max="9989" width="7.85546875" style="1" customWidth="1"/>
    <col min="9990" max="9990" width="22.140625" style="1" customWidth="1"/>
    <col min="9991" max="9991" width="8.7109375" style="1" customWidth="1"/>
    <col min="9992" max="9992" width="8.140625" style="1" customWidth="1"/>
    <col min="9993" max="9993" width="13" style="1" customWidth="1"/>
    <col min="9994" max="9994" width="13.5703125" style="1" customWidth="1"/>
    <col min="9995" max="9996" width="13.28515625" style="1" customWidth="1"/>
    <col min="9997" max="9997" width="6.7109375" style="1" customWidth="1"/>
    <col min="9998" max="9998" width="8.140625" style="1" customWidth="1"/>
    <col min="9999" max="9999" width="7.28515625" style="1" customWidth="1"/>
    <col min="10000" max="10000" width="15" style="1" customWidth="1"/>
    <col min="10001" max="10001" width="3.85546875" style="1" customWidth="1"/>
    <col min="10002" max="10002" width="10.85546875" style="1" bestFit="1" customWidth="1"/>
    <col min="10003" max="10003" width="10.5703125" style="1" bestFit="1" customWidth="1"/>
    <col min="10004" max="10004" width="20.85546875" style="1" bestFit="1" customWidth="1"/>
    <col min="10005" max="10005" width="19.85546875" style="1" bestFit="1" customWidth="1"/>
    <col min="10006" max="10006" width="12" style="1" bestFit="1" customWidth="1"/>
    <col min="10007" max="10241" width="9.140625" style="1"/>
    <col min="10242" max="10242" width="5.28515625" style="1" customWidth="1"/>
    <col min="10243" max="10244" width="9.5703125" style="1" customWidth="1"/>
    <col min="10245" max="10245" width="7.85546875" style="1" customWidth="1"/>
    <col min="10246" max="10246" width="22.140625" style="1" customWidth="1"/>
    <col min="10247" max="10247" width="8.7109375" style="1" customWidth="1"/>
    <col min="10248" max="10248" width="8.140625" style="1" customWidth="1"/>
    <col min="10249" max="10249" width="13" style="1" customWidth="1"/>
    <col min="10250" max="10250" width="13.5703125" style="1" customWidth="1"/>
    <col min="10251" max="10252" width="13.28515625" style="1" customWidth="1"/>
    <col min="10253" max="10253" width="6.7109375" style="1" customWidth="1"/>
    <col min="10254" max="10254" width="8.140625" style="1" customWidth="1"/>
    <col min="10255" max="10255" width="7.28515625" style="1" customWidth="1"/>
    <col min="10256" max="10256" width="15" style="1" customWidth="1"/>
    <col min="10257" max="10257" width="3.85546875" style="1" customWidth="1"/>
    <col min="10258" max="10258" width="10.85546875" style="1" bestFit="1" customWidth="1"/>
    <col min="10259" max="10259" width="10.5703125" style="1" bestFit="1" customWidth="1"/>
    <col min="10260" max="10260" width="20.85546875" style="1" bestFit="1" customWidth="1"/>
    <col min="10261" max="10261" width="19.85546875" style="1" bestFit="1" customWidth="1"/>
    <col min="10262" max="10262" width="12" style="1" bestFit="1" customWidth="1"/>
    <col min="10263" max="10497" width="9.140625" style="1"/>
    <col min="10498" max="10498" width="5.28515625" style="1" customWidth="1"/>
    <col min="10499" max="10500" width="9.5703125" style="1" customWidth="1"/>
    <col min="10501" max="10501" width="7.85546875" style="1" customWidth="1"/>
    <col min="10502" max="10502" width="22.140625" style="1" customWidth="1"/>
    <col min="10503" max="10503" width="8.7109375" style="1" customWidth="1"/>
    <col min="10504" max="10504" width="8.140625" style="1" customWidth="1"/>
    <col min="10505" max="10505" width="13" style="1" customWidth="1"/>
    <col min="10506" max="10506" width="13.5703125" style="1" customWidth="1"/>
    <col min="10507" max="10508" width="13.28515625" style="1" customWidth="1"/>
    <col min="10509" max="10509" width="6.7109375" style="1" customWidth="1"/>
    <col min="10510" max="10510" width="8.140625" style="1" customWidth="1"/>
    <col min="10511" max="10511" width="7.28515625" style="1" customWidth="1"/>
    <col min="10512" max="10512" width="15" style="1" customWidth="1"/>
    <col min="10513" max="10513" width="3.85546875" style="1" customWidth="1"/>
    <col min="10514" max="10514" width="10.85546875" style="1" bestFit="1" customWidth="1"/>
    <col min="10515" max="10515" width="10.5703125" style="1" bestFit="1" customWidth="1"/>
    <col min="10516" max="10516" width="20.85546875" style="1" bestFit="1" customWidth="1"/>
    <col min="10517" max="10517" width="19.85546875" style="1" bestFit="1" customWidth="1"/>
    <col min="10518" max="10518" width="12" style="1" bestFit="1" customWidth="1"/>
    <col min="10519" max="10753" width="9.140625" style="1"/>
    <col min="10754" max="10754" width="5.28515625" style="1" customWidth="1"/>
    <col min="10755" max="10756" width="9.5703125" style="1" customWidth="1"/>
    <col min="10757" max="10757" width="7.85546875" style="1" customWidth="1"/>
    <col min="10758" max="10758" width="22.140625" style="1" customWidth="1"/>
    <col min="10759" max="10759" width="8.7109375" style="1" customWidth="1"/>
    <col min="10760" max="10760" width="8.140625" style="1" customWidth="1"/>
    <col min="10761" max="10761" width="13" style="1" customWidth="1"/>
    <col min="10762" max="10762" width="13.5703125" style="1" customWidth="1"/>
    <col min="10763" max="10764" width="13.28515625" style="1" customWidth="1"/>
    <col min="10765" max="10765" width="6.7109375" style="1" customWidth="1"/>
    <col min="10766" max="10766" width="8.140625" style="1" customWidth="1"/>
    <col min="10767" max="10767" width="7.28515625" style="1" customWidth="1"/>
    <col min="10768" max="10768" width="15" style="1" customWidth="1"/>
    <col min="10769" max="10769" width="3.85546875" style="1" customWidth="1"/>
    <col min="10770" max="10770" width="10.85546875" style="1" bestFit="1" customWidth="1"/>
    <col min="10771" max="10771" width="10.5703125" style="1" bestFit="1" customWidth="1"/>
    <col min="10772" max="10772" width="20.85546875" style="1" bestFit="1" customWidth="1"/>
    <col min="10773" max="10773" width="19.85546875" style="1" bestFit="1" customWidth="1"/>
    <col min="10774" max="10774" width="12" style="1" bestFit="1" customWidth="1"/>
    <col min="10775" max="11009" width="9.140625" style="1"/>
    <col min="11010" max="11010" width="5.28515625" style="1" customWidth="1"/>
    <col min="11011" max="11012" width="9.5703125" style="1" customWidth="1"/>
    <col min="11013" max="11013" width="7.85546875" style="1" customWidth="1"/>
    <col min="11014" max="11014" width="22.140625" style="1" customWidth="1"/>
    <col min="11015" max="11015" width="8.7109375" style="1" customWidth="1"/>
    <col min="11016" max="11016" width="8.140625" style="1" customWidth="1"/>
    <col min="11017" max="11017" width="13" style="1" customWidth="1"/>
    <col min="11018" max="11018" width="13.5703125" style="1" customWidth="1"/>
    <col min="11019" max="11020" width="13.28515625" style="1" customWidth="1"/>
    <col min="11021" max="11021" width="6.7109375" style="1" customWidth="1"/>
    <col min="11022" max="11022" width="8.140625" style="1" customWidth="1"/>
    <col min="11023" max="11023" width="7.28515625" style="1" customWidth="1"/>
    <col min="11024" max="11024" width="15" style="1" customWidth="1"/>
    <col min="11025" max="11025" width="3.85546875" style="1" customWidth="1"/>
    <col min="11026" max="11026" width="10.85546875" style="1" bestFit="1" customWidth="1"/>
    <col min="11027" max="11027" width="10.5703125" style="1" bestFit="1" customWidth="1"/>
    <col min="11028" max="11028" width="20.85546875" style="1" bestFit="1" customWidth="1"/>
    <col min="11029" max="11029" width="19.85546875" style="1" bestFit="1" customWidth="1"/>
    <col min="11030" max="11030" width="12" style="1" bestFit="1" customWidth="1"/>
    <col min="11031" max="11265" width="9.140625" style="1"/>
    <col min="11266" max="11266" width="5.28515625" style="1" customWidth="1"/>
    <col min="11267" max="11268" width="9.5703125" style="1" customWidth="1"/>
    <col min="11269" max="11269" width="7.85546875" style="1" customWidth="1"/>
    <col min="11270" max="11270" width="22.140625" style="1" customWidth="1"/>
    <col min="11271" max="11271" width="8.7109375" style="1" customWidth="1"/>
    <col min="11272" max="11272" width="8.140625" style="1" customWidth="1"/>
    <col min="11273" max="11273" width="13" style="1" customWidth="1"/>
    <col min="11274" max="11274" width="13.5703125" style="1" customWidth="1"/>
    <col min="11275" max="11276" width="13.28515625" style="1" customWidth="1"/>
    <col min="11277" max="11277" width="6.7109375" style="1" customWidth="1"/>
    <col min="11278" max="11278" width="8.140625" style="1" customWidth="1"/>
    <col min="11279" max="11279" width="7.28515625" style="1" customWidth="1"/>
    <col min="11280" max="11280" width="15" style="1" customWidth="1"/>
    <col min="11281" max="11281" width="3.85546875" style="1" customWidth="1"/>
    <col min="11282" max="11282" width="10.85546875" style="1" bestFit="1" customWidth="1"/>
    <col min="11283" max="11283" width="10.5703125" style="1" bestFit="1" customWidth="1"/>
    <col min="11284" max="11284" width="20.85546875" style="1" bestFit="1" customWidth="1"/>
    <col min="11285" max="11285" width="19.85546875" style="1" bestFit="1" customWidth="1"/>
    <col min="11286" max="11286" width="12" style="1" bestFit="1" customWidth="1"/>
    <col min="11287" max="11521" width="9.140625" style="1"/>
    <col min="11522" max="11522" width="5.28515625" style="1" customWidth="1"/>
    <col min="11523" max="11524" width="9.5703125" style="1" customWidth="1"/>
    <col min="11525" max="11525" width="7.85546875" style="1" customWidth="1"/>
    <col min="11526" max="11526" width="22.140625" style="1" customWidth="1"/>
    <col min="11527" max="11527" width="8.7109375" style="1" customWidth="1"/>
    <col min="11528" max="11528" width="8.140625" style="1" customWidth="1"/>
    <col min="11529" max="11529" width="13" style="1" customWidth="1"/>
    <col min="11530" max="11530" width="13.5703125" style="1" customWidth="1"/>
    <col min="11531" max="11532" width="13.28515625" style="1" customWidth="1"/>
    <col min="11533" max="11533" width="6.7109375" style="1" customWidth="1"/>
    <col min="11534" max="11534" width="8.140625" style="1" customWidth="1"/>
    <col min="11535" max="11535" width="7.28515625" style="1" customWidth="1"/>
    <col min="11536" max="11536" width="15" style="1" customWidth="1"/>
    <col min="11537" max="11537" width="3.85546875" style="1" customWidth="1"/>
    <col min="11538" max="11538" width="10.85546875" style="1" bestFit="1" customWidth="1"/>
    <col min="11539" max="11539" width="10.5703125" style="1" bestFit="1" customWidth="1"/>
    <col min="11540" max="11540" width="20.85546875" style="1" bestFit="1" customWidth="1"/>
    <col min="11541" max="11541" width="19.85546875" style="1" bestFit="1" customWidth="1"/>
    <col min="11542" max="11542" width="12" style="1" bestFit="1" customWidth="1"/>
    <col min="11543" max="11777" width="9.140625" style="1"/>
    <col min="11778" max="11778" width="5.28515625" style="1" customWidth="1"/>
    <col min="11779" max="11780" width="9.5703125" style="1" customWidth="1"/>
    <col min="11781" max="11781" width="7.85546875" style="1" customWidth="1"/>
    <col min="11782" max="11782" width="22.140625" style="1" customWidth="1"/>
    <col min="11783" max="11783" width="8.7109375" style="1" customWidth="1"/>
    <col min="11784" max="11784" width="8.140625" style="1" customWidth="1"/>
    <col min="11785" max="11785" width="13" style="1" customWidth="1"/>
    <col min="11786" max="11786" width="13.5703125" style="1" customWidth="1"/>
    <col min="11787" max="11788" width="13.28515625" style="1" customWidth="1"/>
    <col min="11789" max="11789" width="6.7109375" style="1" customWidth="1"/>
    <col min="11790" max="11790" width="8.140625" style="1" customWidth="1"/>
    <col min="11791" max="11791" width="7.28515625" style="1" customWidth="1"/>
    <col min="11792" max="11792" width="15" style="1" customWidth="1"/>
    <col min="11793" max="11793" width="3.85546875" style="1" customWidth="1"/>
    <col min="11794" max="11794" width="10.85546875" style="1" bestFit="1" customWidth="1"/>
    <col min="11795" max="11795" width="10.5703125" style="1" bestFit="1" customWidth="1"/>
    <col min="11796" max="11796" width="20.85546875" style="1" bestFit="1" customWidth="1"/>
    <col min="11797" max="11797" width="19.85546875" style="1" bestFit="1" customWidth="1"/>
    <col min="11798" max="11798" width="12" style="1" bestFit="1" customWidth="1"/>
    <col min="11799" max="12033" width="9.140625" style="1"/>
    <col min="12034" max="12034" width="5.28515625" style="1" customWidth="1"/>
    <col min="12035" max="12036" width="9.5703125" style="1" customWidth="1"/>
    <col min="12037" max="12037" width="7.85546875" style="1" customWidth="1"/>
    <col min="12038" max="12038" width="22.140625" style="1" customWidth="1"/>
    <col min="12039" max="12039" width="8.7109375" style="1" customWidth="1"/>
    <col min="12040" max="12040" width="8.140625" style="1" customWidth="1"/>
    <col min="12041" max="12041" width="13" style="1" customWidth="1"/>
    <col min="12042" max="12042" width="13.5703125" style="1" customWidth="1"/>
    <col min="12043" max="12044" width="13.28515625" style="1" customWidth="1"/>
    <col min="12045" max="12045" width="6.7109375" style="1" customWidth="1"/>
    <col min="12046" max="12046" width="8.140625" style="1" customWidth="1"/>
    <col min="12047" max="12047" width="7.28515625" style="1" customWidth="1"/>
    <col min="12048" max="12048" width="15" style="1" customWidth="1"/>
    <col min="12049" max="12049" width="3.85546875" style="1" customWidth="1"/>
    <col min="12050" max="12050" width="10.85546875" style="1" bestFit="1" customWidth="1"/>
    <col min="12051" max="12051" width="10.5703125" style="1" bestFit="1" customWidth="1"/>
    <col min="12052" max="12052" width="20.85546875" style="1" bestFit="1" customWidth="1"/>
    <col min="12053" max="12053" width="19.85546875" style="1" bestFit="1" customWidth="1"/>
    <col min="12054" max="12054" width="12" style="1" bestFit="1" customWidth="1"/>
    <col min="12055" max="12289" width="9.140625" style="1"/>
    <col min="12290" max="12290" width="5.28515625" style="1" customWidth="1"/>
    <col min="12291" max="12292" width="9.5703125" style="1" customWidth="1"/>
    <col min="12293" max="12293" width="7.85546875" style="1" customWidth="1"/>
    <col min="12294" max="12294" width="22.140625" style="1" customWidth="1"/>
    <col min="12295" max="12295" width="8.7109375" style="1" customWidth="1"/>
    <col min="12296" max="12296" width="8.140625" style="1" customWidth="1"/>
    <col min="12297" max="12297" width="13" style="1" customWidth="1"/>
    <col min="12298" max="12298" width="13.5703125" style="1" customWidth="1"/>
    <col min="12299" max="12300" width="13.28515625" style="1" customWidth="1"/>
    <col min="12301" max="12301" width="6.7109375" style="1" customWidth="1"/>
    <col min="12302" max="12302" width="8.140625" style="1" customWidth="1"/>
    <col min="12303" max="12303" width="7.28515625" style="1" customWidth="1"/>
    <col min="12304" max="12304" width="15" style="1" customWidth="1"/>
    <col min="12305" max="12305" width="3.85546875" style="1" customWidth="1"/>
    <col min="12306" max="12306" width="10.85546875" style="1" bestFit="1" customWidth="1"/>
    <col min="12307" max="12307" width="10.5703125" style="1" bestFit="1" customWidth="1"/>
    <col min="12308" max="12308" width="20.85546875" style="1" bestFit="1" customWidth="1"/>
    <col min="12309" max="12309" width="19.85546875" style="1" bestFit="1" customWidth="1"/>
    <col min="12310" max="12310" width="12" style="1" bestFit="1" customWidth="1"/>
    <col min="12311" max="12545" width="9.140625" style="1"/>
    <col min="12546" max="12546" width="5.28515625" style="1" customWidth="1"/>
    <col min="12547" max="12548" width="9.5703125" style="1" customWidth="1"/>
    <col min="12549" max="12549" width="7.85546875" style="1" customWidth="1"/>
    <col min="12550" max="12550" width="22.140625" style="1" customWidth="1"/>
    <col min="12551" max="12551" width="8.7109375" style="1" customWidth="1"/>
    <col min="12552" max="12552" width="8.140625" style="1" customWidth="1"/>
    <col min="12553" max="12553" width="13" style="1" customWidth="1"/>
    <col min="12554" max="12554" width="13.5703125" style="1" customWidth="1"/>
    <col min="12555" max="12556" width="13.28515625" style="1" customWidth="1"/>
    <col min="12557" max="12557" width="6.7109375" style="1" customWidth="1"/>
    <col min="12558" max="12558" width="8.140625" style="1" customWidth="1"/>
    <col min="12559" max="12559" width="7.28515625" style="1" customWidth="1"/>
    <col min="12560" max="12560" width="15" style="1" customWidth="1"/>
    <col min="12561" max="12561" width="3.85546875" style="1" customWidth="1"/>
    <col min="12562" max="12562" width="10.85546875" style="1" bestFit="1" customWidth="1"/>
    <col min="12563" max="12563" width="10.5703125" style="1" bestFit="1" customWidth="1"/>
    <col min="12564" max="12564" width="20.85546875" style="1" bestFit="1" customWidth="1"/>
    <col min="12565" max="12565" width="19.85546875" style="1" bestFit="1" customWidth="1"/>
    <col min="12566" max="12566" width="12" style="1" bestFit="1" customWidth="1"/>
    <col min="12567" max="12801" width="9.140625" style="1"/>
    <col min="12802" max="12802" width="5.28515625" style="1" customWidth="1"/>
    <col min="12803" max="12804" width="9.5703125" style="1" customWidth="1"/>
    <col min="12805" max="12805" width="7.85546875" style="1" customWidth="1"/>
    <col min="12806" max="12806" width="22.140625" style="1" customWidth="1"/>
    <col min="12807" max="12807" width="8.7109375" style="1" customWidth="1"/>
    <col min="12808" max="12808" width="8.140625" style="1" customWidth="1"/>
    <col min="12809" max="12809" width="13" style="1" customWidth="1"/>
    <col min="12810" max="12810" width="13.5703125" style="1" customWidth="1"/>
    <col min="12811" max="12812" width="13.28515625" style="1" customWidth="1"/>
    <col min="12813" max="12813" width="6.7109375" style="1" customWidth="1"/>
    <col min="12814" max="12814" width="8.140625" style="1" customWidth="1"/>
    <col min="12815" max="12815" width="7.28515625" style="1" customWidth="1"/>
    <col min="12816" max="12816" width="15" style="1" customWidth="1"/>
    <col min="12817" max="12817" width="3.85546875" style="1" customWidth="1"/>
    <col min="12818" max="12818" width="10.85546875" style="1" bestFit="1" customWidth="1"/>
    <col min="12819" max="12819" width="10.5703125" style="1" bestFit="1" customWidth="1"/>
    <col min="12820" max="12820" width="20.85546875" style="1" bestFit="1" customWidth="1"/>
    <col min="12821" max="12821" width="19.85546875" style="1" bestFit="1" customWidth="1"/>
    <col min="12822" max="12822" width="12" style="1" bestFit="1" customWidth="1"/>
    <col min="12823" max="13057" width="9.140625" style="1"/>
    <col min="13058" max="13058" width="5.28515625" style="1" customWidth="1"/>
    <col min="13059" max="13060" width="9.5703125" style="1" customWidth="1"/>
    <col min="13061" max="13061" width="7.85546875" style="1" customWidth="1"/>
    <col min="13062" max="13062" width="22.140625" style="1" customWidth="1"/>
    <col min="13063" max="13063" width="8.7109375" style="1" customWidth="1"/>
    <col min="13064" max="13064" width="8.140625" style="1" customWidth="1"/>
    <col min="13065" max="13065" width="13" style="1" customWidth="1"/>
    <col min="13066" max="13066" width="13.5703125" style="1" customWidth="1"/>
    <col min="13067" max="13068" width="13.28515625" style="1" customWidth="1"/>
    <col min="13069" max="13069" width="6.7109375" style="1" customWidth="1"/>
    <col min="13070" max="13070" width="8.140625" style="1" customWidth="1"/>
    <col min="13071" max="13071" width="7.28515625" style="1" customWidth="1"/>
    <col min="13072" max="13072" width="15" style="1" customWidth="1"/>
    <col min="13073" max="13073" width="3.85546875" style="1" customWidth="1"/>
    <col min="13074" max="13074" width="10.85546875" style="1" bestFit="1" customWidth="1"/>
    <col min="13075" max="13075" width="10.5703125" style="1" bestFit="1" customWidth="1"/>
    <col min="13076" max="13076" width="20.85546875" style="1" bestFit="1" customWidth="1"/>
    <col min="13077" max="13077" width="19.85546875" style="1" bestFit="1" customWidth="1"/>
    <col min="13078" max="13078" width="12" style="1" bestFit="1" customWidth="1"/>
    <col min="13079" max="13313" width="9.140625" style="1"/>
    <col min="13314" max="13314" width="5.28515625" style="1" customWidth="1"/>
    <col min="13315" max="13316" width="9.5703125" style="1" customWidth="1"/>
    <col min="13317" max="13317" width="7.85546875" style="1" customWidth="1"/>
    <col min="13318" max="13318" width="22.140625" style="1" customWidth="1"/>
    <col min="13319" max="13319" width="8.7109375" style="1" customWidth="1"/>
    <col min="13320" max="13320" width="8.140625" style="1" customWidth="1"/>
    <col min="13321" max="13321" width="13" style="1" customWidth="1"/>
    <col min="13322" max="13322" width="13.5703125" style="1" customWidth="1"/>
    <col min="13323" max="13324" width="13.28515625" style="1" customWidth="1"/>
    <col min="13325" max="13325" width="6.7109375" style="1" customWidth="1"/>
    <col min="13326" max="13326" width="8.140625" style="1" customWidth="1"/>
    <col min="13327" max="13327" width="7.28515625" style="1" customWidth="1"/>
    <col min="13328" max="13328" width="15" style="1" customWidth="1"/>
    <col min="13329" max="13329" width="3.85546875" style="1" customWidth="1"/>
    <col min="13330" max="13330" width="10.85546875" style="1" bestFit="1" customWidth="1"/>
    <col min="13331" max="13331" width="10.5703125" style="1" bestFit="1" customWidth="1"/>
    <col min="13332" max="13332" width="20.85546875" style="1" bestFit="1" customWidth="1"/>
    <col min="13333" max="13333" width="19.85546875" style="1" bestFit="1" customWidth="1"/>
    <col min="13334" max="13334" width="12" style="1" bestFit="1" customWidth="1"/>
    <col min="13335" max="13569" width="9.140625" style="1"/>
    <col min="13570" max="13570" width="5.28515625" style="1" customWidth="1"/>
    <col min="13571" max="13572" width="9.5703125" style="1" customWidth="1"/>
    <col min="13573" max="13573" width="7.85546875" style="1" customWidth="1"/>
    <col min="13574" max="13574" width="22.140625" style="1" customWidth="1"/>
    <col min="13575" max="13575" width="8.7109375" style="1" customWidth="1"/>
    <col min="13576" max="13576" width="8.140625" style="1" customWidth="1"/>
    <col min="13577" max="13577" width="13" style="1" customWidth="1"/>
    <col min="13578" max="13578" width="13.5703125" style="1" customWidth="1"/>
    <col min="13579" max="13580" width="13.28515625" style="1" customWidth="1"/>
    <col min="13581" max="13581" width="6.7109375" style="1" customWidth="1"/>
    <col min="13582" max="13582" width="8.140625" style="1" customWidth="1"/>
    <col min="13583" max="13583" width="7.28515625" style="1" customWidth="1"/>
    <col min="13584" max="13584" width="15" style="1" customWidth="1"/>
    <col min="13585" max="13585" width="3.85546875" style="1" customWidth="1"/>
    <col min="13586" max="13586" width="10.85546875" style="1" bestFit="1" customWidth="1"/>
    <col min="13587" max="13587" width="10.5703125" style="1" bestFit="1" customWidth="1"/>
    <col min="13588" max="13588" width="20.85546875" style="1" bestFit="1" customWidth="1"/>
    <col min="13589" max="13589" width="19.85546875" style="1" bestFit="1" customWidth="1"/>
    <col min="13590" max="13590" width="12" style="1" bestFit="1" customWidth="1"/>
    <col min="13591" max="13825" width="9.140625" style="1"/>
    <col min="13826" max="13826" width="5.28515625" style="1" customWidth="1"/>
    <col min="13827" max="13828" width="9.5703125" style="1" customWidth="1"/>
    <col min="13829" max="13829" width="7.85546875" style="1" customWidth="1"/>
    <col min="13830" max="13830" width="22.140625" style="1" customWidth="1"/>
    <col min="13831" max="13831" width="8.7109375" style="1" customWidth="1"/>
    <col min="13832" max="13832" width="8.140625" style="1" customWidth="1"/>
    <col min="13833" max="13833" width="13" style="1" customWidth="1"/>
    <col min="13834" max="13834" width="13.5703125" style="1" customWidth="1"/>
    <col min="13835" max="13836" width="13.28515625" style="1" customWidth="1"/>
    <col min="13837" max="13837" width="6.7109375" style="1" customWidth="1"/>
    <col min="13838" max="13838" width="8.140625" style="1" customWidth="1"/>
    <col min="13839" max="13839" width="7.28515625" style="1" customWidth="1"/>
    <col min="13840" max="13840" width="15" style="1" customWidth="1"/>
    <col min="13841" max="13841" width="3.85546875" style="1" customWidth="1"/>
    <col min="13842" max="13842" width="10.85546875" style="1" bestFit="1" customWidth="1"/>
    <col min="13843" max="13843" width="10.5703125" style="1" bestFit="1" customWidth="1"/>
    <col min="13844" max="13844" width="20.85546875" style="1" bestFit="1" customWidth="1"/>
    <col min="13845" max="13845" width="19.85546875" style="1" bestFit="1" customWidth="1"/>
    <col min="13846" max="13846" width="12" style="1" bestFit="1" customWidth="1"/>
    <col min="13847" max="14081" width="9.140625" style="1"/>
    <col min="14082" max="14082" width="5.28515625" style="1" customWidth="1"/>
    <col min="14083" max="14084" width="9.5703125" style="1" customWidth="1"/>
    <col min="14085" max="14085" width="7.85546875" style="1" customWidth="1"/>
    <col min="14086" max="14086" width="22.140625" style="1" customWidth="1"/>
    <col min="14087" max="14087" width="8.7109375" style="1" customWidth="1"/>
    <col min="14088" max="14088" width="8.140625" style="1" customWidth="1"/>
    <col min="14089" max="14089" width="13" style="1" customWidth="1"/>
    <col min="14090" max="14090" width="13.5703125" style="1" customWidth="1"/>
    <col min="14091" max="14092" width="13.28515625" style="1" customWidth="1"/>
    <col min="14093" max="14093" width="6.7109375" style="1" customWidth="1"/>
    <col min="14094" max="14094" width="8.140625" style="1" customWidth="1"/>
    <col min="14095" max="14095" width="7.28515625" style="1" customWidth="1"/>
    <col min="14096" max="14096" width="15" style="1" customWidth="1"/>
    <col min="14097" max="14097" width="3.85546875" style="1" customWidth="1"/>
    <col min="14098" max="14098" width="10.85546875" style="1" bestFit="1" customWidth="1"/>
    <col min="14099" max="14099" width="10.5703125" style="1" bestFit="1" customWidth="1"/>
    <col min="14100" max="14100" width="20.85546875" style="1" bestFit="1" customWidth="1"/>
    <col min="14101" max="14101" width="19.85546875" style="1" bestFit="1" customWidth="1"/>
    <col min="14102" max="14102" width="12" style="1" bestFit="1" customWidth="1"/>
    <col min="14103" max="14337" width="9.140625" style="1"/>
    <col min="14338" max="14338" width="5.28515625" style="1" customWidth="1"/>
    <col min="14339" max="14340" width="9.5703125" style="1" customWidth="1"/>
    <col min="14341" max="14341" width="7.85546875" style="1" customWidth="1"/>
    <col min="14342" max="14342" width="22.140625" style="1" customWidth="1"/>
    <col min="14343" max="14343" width="8.7109375" style="1" customWidth="1"/>
    <col min="14344" max="14344" width="8.140625" style="1" customWidth="1"/>
    <col min="14345" max="14345" width="13" style="1" customWidth="1"/>
    <col min="14346" max="14346" width="13.5703125" style="1" customWidth="1"/>
    <col min="14347" max="14348" width="13.28515625" style="1" customWidth="1"/>
    <col min="14349" max="14349" width="6.7109375" style="1" customWidth="1"/>
    <col min="14350" max="14350" width="8.140625" style="1" customWidth="1"/>
    <col min="14351" max="14351" width="7.28515625" style="1" customWidth="1"/>
    <col min="14352" max="14352" width="15" style="1" customWidth="1"/>
    <col min="14353" max="14353" width="3.85546875" style="1" customWidth="1"/>
    <col min="14354" max="14354" width="10.85546875" style="1" bestFit="1" customWidth="1"/>
    <col min="14355" max="14355" width="10.5703125" style="1" bestFit="1" customWidth="1"/>
    <col min="14356" max="14356" width="20.85546875" style="1" bestFit="1" customWidth="1"/>
    <col min="14357" max="14357" width="19.85546875" style="1" bestFit="1" customWidth="1"/>
    <col min="14358" max="14358" width="12" style="1" bestFit="1" customWidth="1"/>
    <col min="14359" max="14593" width="9.140625" style="1"/>
    <col min="14594" max="14594" width="5.28515625" style="1" customWidth="1"/>
    <col min="14595" max="14596" width="9.5703125" style="1" customWidth="1"/>
    <col min="14597" max="14597" width="7.85546875" style="1" customWidth="1"/>
    <col min="14598" max="14598" width="22.140625" style="1" customWidth="1"/>
    <col min="14599" max="14599" width="8.7109375" style="1" customWidth="1"/>
    <col min="14600" max="14600" width="8.140625" style="1" customWidth="1"/>
    <col min="14601" max="14601" width="13" style="1" customWidth="1"/>
    <col min="14602" max="14602" width="13.5703125" style="1" customWidth="1"/>
    <col min="14603" max="14604" width="13.28515625" style="1" customWidth="1"/>
    <col min="14605" max="14605" width="6.7109375" style="1" customWidth="1"/>
    <col min="14606" max="14606" width="8.140625" style="1" customWidth="1"/>
    <col min="14607" max="14607" width="7.28515625" style="1" customWidth="1"/>
    <col min="14608" max="14608" width="15" style="1" customWidth="1"/>
    <col min="14609" max="14609" width="3.85546875" style="1" customWidth="1"/>
    <col min="14610" max="14610" width="10.85546875" style="1" bestFit="1" customWidth="1"/>
    <col min="14611" max="14611" width="10.5703125" style="1" bestFit="1" customWidth="1"/>
    <col min="14612" max="14612" width="20.85546875" style="1" bestFit="1" customWidth="1"/>
    <col min="14613" max="14613" width="19.85546875" style="1" bestFit="1" customWidth="1"/>
    <col min="14614" max="14614" width="12" style="1" bestFit="1" customWidth="1"/>
    <col min="14615" max="14849" width="9.140625" style="1"/>
    <col min="14850" max="14850" width="5.28515625" style="1" customWidth="1"/>
    <col min="14851" max="14852" width="9.5703125" style="1" customWidth="1"/>
    <col min="14853" max="14853" width="7.85546875" style="1" customWidth="1"/>
    <col min="14854" max="14854" width="22.140625" style="1" customWidth="1"/>
    <col min="14855" max="14855" width="8.7109375" style="1" customWidth="1"/>
    <col min="14856" max="14856" width="8.140625" style="1" customWidth="1"/>
    <col min="14857" max="14857" width="13" style="1" customWidth="1"/>
    <col min="14858" max="14858" width="13.5703125" style="1" customWidth="1"/>
    <col min="14859" max="14860" width="13.28515625" style="1" customWidth="1"/>
    <col min="14861" max="14861" width="6.7109375" style="1" customWidth="1"/>
    <col min="14862" max="14862" width="8.140625" style="1" customWidth="1"/>
    <col min="14863" max="14863" width="7.28515625" style="1" customWidth="1"/>
    <col min="14864" max="14864" width="15" style="1" customWidth="1"/>
    <col min="14865" max="14865" width="3.85546875" style="1" customWidth="1"/>
    <col min="14866" max="14866" width="10.85546875" style="1" bestFit="1" customWidth="1"/>
    <col min="14867" max="14867" width="10.5703125" style="1" bestFit="1" customWidth="1"/>
    <col min="14868" max="14868" width="20.85546875" style="1" bestFit="1" customWidth="1"/>
    <col min="14869" max="14869" width="19.85546875" style="1" bestFit="1" customWidth="1"/>
    <col min="14870" max="14870" width="12" style="1" bestFit="1" customWidth="1"/>
    <col min="14871" max="15105" width="9.140625" style="1"/>
    <col min="15106" max="15106" width="5.28515625" style="1" customWidth="1"/>
    <col min="15107" max="15108" width="9.5703125" style="1" customWidth="1"/>
    <col min="15109" max="15109" width="7.85546875" style="1" customWidth="1"/>
    <col min="15110" max="15110" width="22.140625" style="1" customWidth="1"/>
    <col min="15111" max="15111" width="8.7109375" style="1" customWidth="1"/>
    <col min="15112" max="15112" width="8.140625" style="1" customWidth="1"/>
    <col min="15113" max="15113" width="13" style="1" customWidth="1"/>
    <col min="15114" max="15114" width="13.5703125" style="1" customWidth="1"/>
    <col min="15115" max="15116" width="13.28515625" style="1" customWidth="1"/>
    <col min="15117" max="15117" width="6.7109375" style="1" customWidth="1"/>
    <col min="15118" max="15118" width="8.140625" style="1" customWidth="1"/>
    <col min="15119" max="15119" width="7.28515625" style="1" customWidth="1"/>
    <col min="15120" max="15120" width="15" style="1" customWidth="1"/>
    <col min="15121" max="15121" width="3.85546875" style="1" customWidth="1"/>
    <col min="15122" max="15122" width="10.85546875" style="1" bestFit="1" customWidth="1"/>
    <col min="15123" max="15123" width="10.5703125" style="1" bestFit="1" customWidth="1"/>
    <col min="15124" max="15124" width="20.85546875" style="1" bestFit="1" customWidth="1"/>
    <col min="15125" max="15125" width="19.85546875" style="1" bestFit="1" customWidth="1"/>
    <col min="15126" max="15126" width="12" style="1" bestFit="1" customWidth="1"/>
    <col min="15127" max="15361" width="9.140625" style="1"/>
    <col min="15362" max="15362" width="5.28515625" style="1" customWidth="1"/>
    <col min="15363" max="15364" width="9.5703125" style="1" customWidth="1"/>
    <col min="15365" max="15365" width="7.85546875" style="1" customWidth="1"/>
    <col min="15366" max="15366" width="22.140625" style="1" customWidth="1"/>
    <col min="15367" max="15367" width="8.7109375" style="1" customWidth="1"/>
    <col min="15368" max="15368" width="8.140625" style="1" customWidth="1"/>
    <col min="15369" max="15369" width="13" style="1" customWidth="1"/>
    <col min="15370" max="15370" width="13.5703125" style="1" customWidth="1"/>
    <col min="15371" max="15372" width="13.28515625" style="1" customWidth="1"/>
    <col min="15373" max="15373" width="6.7109375" style="1" customWidth="1"/>
    <col min="15374" max="15374" width="8.140625" style="1" customWidth="1"/>
    <col min="15375" max="15375" width="7.28515625" style="1" customWidth="1"/>
    <col min="15376" max="15376" width="15" style="1" customWidth="1"/>
    <col min="15377" max="15377" width="3.85546875" style="1" customWidth="1"/>
    <col min="15378" max="15378" width="10.85546875" style="1" bestFit="1" customWidth="1"/>
    <col min="15379" max="15379" width="10.5703125" style="1" bestFit="1" customWidth="1"/>
    <col min="15380" max="15380" width="20.85546875" style="1" bestFit="1" customWidth="1"/>
    <col min="15381" max="15381" width="19.85546875" style="1" bestFit="1" customWidth="1"/>
    <col min="15382" max="15382" width="12" style="1" bestFit="1" customWidth="1"/>
    <col min="15383" max="15617" width="9.140625" style="1"/>
    <col min="15618" max="15618" width="5.28515625" style="1" customWidth="1"/>
    <col min="15619" max="15620" width="9.5703125" style="1" customWidth="1"/>
    <col min="15621" max="15621" width="7.85546875" style="1" customWidth="1"/>
    <col min="15622" max="15622" width="22.140625" style="1" customWidth="1"/>
    <col min="15623" max="15623" width="8.7109375" style="1" customWidth="1"/>
    <col min="15624" max="15624" width="8.140625" style="1" customWidth="1"/>
    <col min="15625" max="15625" width="13" style="1" customWidth="1"/>
    <col min="15626" max="15626" width="13.5703125" style="1" customWidth="1"/>
    <col min="15627" max="15628" width="13.28515625" style="1" customWidth="1"/>
    <col min="15629" max="15629" width="6.7109375" style="1" customWidth="1"/>
    <col min="15630" max="15630" width="8.140625" style="1" customWidth="1"/>
    <col min="15631" max="15631" width="7.28515625" style="1" customWidth="1"/>
    <col min="15632" max="15632" width="15" style="1" customWidth="1"/>
    <col min="15633" max="15633" width="3.85546875" style="1" customWidth="1"/>
    <col min="15634" max="15634" width="10.85546875" style="1" bestFit="1" customWidth="1"/>
    <col min="15635" max="15635" width="10.5703125" style="1" bestFit="1" customWidth="1"/>
    <col min="15636" max="15636" width="20.85546875" style="1" bestFit="1" customWidth="1"/>
    <col min="15637" max="15637" width="19.85546875" style="1" bestFit="1" customWidth="1"/>
    <col min="15638" max="15638" width="12" style="1" bestFit="1" customWidth="1"/>
    <col min="15639" max="15873" width="9.140625" style="1"/>
    <col min="15874" max="15874" width="5.28515625" style="1" customWidth="1"/>
    <col min="15875" max="15876" width="9.5703125" style="1" customWidth="1"/>
    <col min="15877" max="15877" width="7.85546875" style="1" customWidth="1"/>
    <col min="15878" max="15878" width="22.140625" style="1" customWidth="1"/>
    <col min="15879" max="15879" width="8.7109375" style="1" customWidth="1"/>
    <col min="15880" max="15880" width="8.140625" style="1" customWidth="1"/>
    <col min="15881" max="15881" width="13" style="1" customWidth="1"/>
    <col min="15882" max="15882" width="13.5703125" style="1" customWidth="1"/>
    <col min="15883" max="15884" width="13.28515625" style="1" customWidth="1"/>
    <col min="15885" max="15885" width="6.7109375" style="1" customWidth="1"/>
    <col min="15886" max="15886" width="8.140625" style="1" customWidth="1"/>
    <col min="15887" max="15887" width="7.28515625" style="1" customWidth="1"/>
    <col min="15888" max="15888" width="15" style="1" customWidth="1"/>
    <col min="15889" max="15889" width="3.85546875" style="1" customWidth="1"/>
    <col min="15890" max="15890" width="10.85546875" style="1" bestFit="1" customWidth="1"/>
    <col min="15891" max="15891" width="10.5703125" style="1" bestFit="1" customWidth="1"/>
    <col min="15892" max="15892" width="20.85546875" style="1" bestFit="1" customWidth="1"/>
    <col min="15893" max="15893" width="19.85546875" style="1" bestFit="1" customWidth="1"/>
    <col min="15894" max="15894" width="12" style="1" bestFit="1" customWidth="1"/>
    <col min="15895" max="16129" width="9.140625" style="1"/>
    <col min="16130" max="16130" width="5.28515625" style="1" customWidth="1"/>
    <col min="16131" max="16132" width="9.5703125" style="1" customWidth="1"/>
    <col min="16133" max="16133" width="7.85546875" style="1" customWidth="1"/>
    <col min="16134" max="16134" width="22.140625" style="1" customWidth="1"/>
    <col min="16135" max="16135" width="8.7109375" style="1" customWidth="1"/>
    <col min="16136" max="16136" width="8.140625" style="1" customWidth="1"/>
    <col min="16137" max="16137" width="13" style="1" customWidth="1"/>
    <col min="16138" max="16138" width="13.5703125" style="1" customWidth="1"/>
    <col min="16139" max="16140" width="13.28515625" style="1" customWidth="1"/>
    <col min="16141" max="16141" width="6.7109375" style="1" customWidth="1"/>
    <col min="16142" max="16142" width="8.140625" style="1" customWidth="1"/>
    <col min="16143" max="16143" width="7.28515625" style="1" customWidth="1"/>
    <col min="16144" max="16144" width="15" style="1" customWidth="1"/>
    <col min="16145" max="16145" width="3.85546875" style="1" customWidth="1"/>
    <col min="16146" max="16146" width="10.85546875" style="1" bestFit="1" customWidth="1"/>
    <col min="16147" max="16147" width="10.5703125" style="1" bestFit="1" customWidth="1"/>
    <col min="16148" max="16148" width="20.85546875" style="1" bestFit="1" customWidth="1"/>
    <col min="16149" max="16149" width="19.85546875" style="1" bestFit="1" customWidth="1"/>
    <col min="16150" max="16150" width="12" style="1" bestFit="1" customWidth="1"/>
    <col min="16151" max="16384" width="9.140625" style="1"/>
  </cols>
  <sheetData>
    <row r="1" spans="1:35" ht="321.75" customHeight="1" x14ac:dyDescent="0.2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ht="321.75" customHeight="1" x14ac:dyDescent="0.25">
      <c r="A2"/>
      <c r="B2" s="1" t="str">
        <f>D2&amp;"-"&amp;G2&amp;"-"&amp;J2</f>
        <v>Scal-Trawl-Len-MF</v>
      </c>
      <c r="D2" s="1" t="s">
        <v>19</v>
      </c>
      <c r="E2"/>
      <c r="F2"/>
      <c r="G2" s="1" t="s">
        <v>20</v>
      </c>
      <c r="H2"/>
      <c r="I2"/>
      <c r="J2" s="1" t="s">
        <v>21</v>
      </c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 s="1">
        <v>1969</v>
      </c>
      <c r="AH2" s="1">
        <v>18</v>
      </c>
      <c r="AI2" s="1">
        <v>2</v>
      </c>
    </row>
    <row r="3" spans="1:35" ht="15" x14ac:dyDescent="0.25">
      <c r="A3" s="18"/>
      <c r="E3"/>
      <c r="F3"/>
      <c r="H3"/>
      <c r="I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</row>
    <row r="4" spans="1:35" customFormat="1" ht="18.75" x14ac:dyDescent="0.3">
      <c r="A4" t="s">
        <v>3</v>
      </c>
      <c r="B4" t="s">
        <v>2</v>
      </c>
      <c r="C4" t="s">
        <v>318</v>
      </c>
      <c r="D4" t="s">
        <v>0</v>
      </c>
      <c r="E4" t="s">
        <v>13</v>
      </c>
      <c r="F4" t="s">
        <v>14</v>
      </c>
      <c r="G4" t="s">
        <v>15</v>
      </c>
      <c r="H4" t="s">
        <v>16</v>
      </c>
      <c r="I4" t="s">
        <v>9</v>
      </c>
      <c r="J4" t="s">
        <v>1</v>
      </c>
      <c r="K4" t="s">
        <v>10</v>
      </c>
      <c r="L4" t="s">
        <v>11</v>
      </c>
      <c r="M4" s="8" t="s">
        <v>12</v>
      </c>
      <c r="N4" t="s">
        <v>4</v>
      </c>
      <c r="O4" t="s">
        <v>5</v>
      </c>
      <c r="P4" t="s">
        <v>17</v>
      </c>
      <c r="Q4" t="s">
        <v>7</v>
      </c>
      <c r="R4" s="8" t="s">
        <v>8</v>
      </c>
      <c r="S4" s="8" t="s">
        <v>6</v>
      </c>
      <c r="T4" t="s">
        <v>182</v>
      </c>
      <c r="U4" t="s">
        <v>18</v>
      </c>
      <c r="V4" t="s">
        <v>304</v>
      </c>
      <c r="W4">
        <v>19760</v>
      </c>
      <c r="X4" s="9">
        <v>2794</v>
      </c>
      <c r="Y4" s="9" t="s">
        <v>253</v>
      </c>
      <c r="Z4" s="10"/>
    </row>
    <row r="5" spans="1:35" customFormat="1" ht="15" x14ac:dyDescent="0.25">
      <c r="A5">
        <v>1968</v>
      </c>
      <c r="B5">
        <v>1</v>
      </c>
      <c r="C5">
        <v>1968.25</v>
      </c>
      <c r="D5">
        <v>5</v>
      </c>
      <c r="E5">
        <v>1</v>
      </c>
      <c r="F5">
        <v>0</v>
      </c>
      <c r="G5" t="s">
        <v>310</v>
      </c>
      <c r="H5">
        <v>0</v>
      </c>
      <c r="I5">
        <v>0</v>
      </c>
      <c r="J5">
        <v>1</v>
      </c>
      <c r="K5">
        <v>1</v>
      </c>
      <c r="L5">
        <v>1</v>
      </c>
      <c r="M5">
        <v>4</v>
      </c>
      <c r="N5" s="8">
        <v>3.4708999999999999E-4</v>
      </c>
      <c r="O5" s="8">
        <v>5.4169199999999998E-4</v>
      </c>
      <c r="P5" s="8">
        <v>-1.55345E-2</v>
      </c>
      <c r="Q5">
        <v>3.45</v>
      </c>
      <c r="R5">
        <v>168.27500000000001</v>
      </c>
      <c r="S5" s="8">
        <v>-5.3300500000000002E-4</v>
      </c>
      <c r="T5" s="8">
        <v>3.4708999999999999E-4</v>
      </c>
      <c r="U5" s="8">
        <v>5.4169199999999998E-4</v>
      </c>
      <c r="V5" t="s">
        <v>205</v>
      </c>
      <c r="W5" t="s">
        <v>205</v>
      </c>
    </row>
    <row r="6" spans="1:35" customFormat="1" ht="15" x14ac:dyDescent="0.25">
      <c r="A6">
        <v>1968</v>
      </c>
      <c r="B6">
        <v>1</v>
      </c>
      <c r="C6">
        <v>1968.25</v>
      </c>
      <c r="D6">
        <v>5</v>
      </c>
      <c r="E6">
        <v>1</v>
      </c>
      <c r="F6">
        <v>0</v>
      </c>
      <c r="G6" t="s">
        <v>310</v>
      </c>
      <c r="H6">
        <v>0</v>
      </c>
      <c r="I6">
        <v>0</v>
      </c>
      <c r="J6">
        <v>1</v>
      </c>
      <c r="K6">
        <v>1</v>
      </c>
      <c r="L6">
        <v>1</v>
      </c>
      <c r="M6">
        <v>5</v>
      </c>
      <c r="N6" s="8">
        <v>5.9449899999999996E-4</v>
      </c>
      <c r="O6" s="8">
        <v>7.8852000000000002E-4</v>
      </c>
      <c r="P6" s="8">
        <v>-1.2838799999999999E-2</v>
      </c>
      <c r="Q6">
        <v>3.45</v>
      </c>
      <c r="R6">
        <v>168.27500000000001</v>
      </c>
      <c r="S6" s="8">
        <v>-5.7928799999999996E-4</v>
      </c>
      <c r="T6" s="8">
        <v>9.4158899999999995E-4</v>
      </c>
      <c r="U6" s="8">
        <v>1.3302100000000001E-3</v>
      </c>
      <c r="V6" t="s">
        <v>205</v>
      </c>
      <c r="W6" t="s">
        <v>205</v>
      </c>
    </row>
    <row r="7" spans="1:35" customFormat="1" ht="15" x14ac:dyDescent="0.25">
      <c r="A7">
        <v>1968</v>
      </c>
      <c r="B7">
        <v>1</v>
      </c>
      <c r="C7">
        <v>1968.25</v>
      </c>
      <c r="D7">
        <v>5</v>
      </c>
      <c r="E7">
        <v>1</v>
      </c>
      <c r="F7">
        <v>0</v>
      </c>
      <c r="G7" t="s">
        <v>310</v>
      </c>
      <c r="H7">
        <v>0</v>
      </c>
      <c r="I7">
        <v>0</v>
      </c>
      <c r="J7">
        <v>1</v>
      </c>
      <c r="K7">
        <v>1</v>
      </c>
      <c r="L7">
        <v>1</v>
      </c>
      <c r="M7">
        <v>6</v>
      </c>
      <c r="N7" s="8">
        <v>9.9680999999999996E-5</v>
      </c>
      <c r="O7" s="8">
        <v>1.1904699999999999E-3</v>
      </c>
      <c r="P7" s="8">
        <v>-5.8755599999999998E-2</v>
      </c>
      <c r="Q7">
        <v>3.45</v>
      </c>
      <c r="R7">
        <v>168.27500000000001</v>
      </c>
      <c r="S7" s="8">
        <v>-8.5291499999999999E-4</v>
      </c>
      <c r="T7" s="8">
        <v>1.04127E-3</v>
      </c>
      <c r="U7" s="8">
        <v>2.52068E-3</v>
      </c>
      <c r="V7" t="s">
        <v>205</v>
      </c>
      <c r="W7" t="s">
        <v>205</v>
      </c>
    </row>
    <row r="8" spans="1:35" customFormat="1" ht="15" x14ac:dyDescent="0.25">
      <c r="A8">
        <v>1968</v>
      </c>
      <c r="B8">
        <v>1</v>
      </c>
      <c r="C8">
        <v>1968.25</v>
      </c>
      <c r="D8">
        <v>5</v>
      </c>
      <c r="E8">
        <v>1</v>
      </c>
      <c r="F8">
        <v>0</v>
      </c>
      <c r="G8" t="s">
        <v>310</v>
      </c>
      <c r="H8">
        <v>0</v>
      </c>
      <c r="I8">
        <v>0</v>
      </c>
      <c r="J8">
        <v>1</v>
      </c>
      <c r="K8">
        <v>1</v>
      </c>
      <c r="L8">
        <v>1</v>
      </c>
      <c r="M8">
        <v>7</v>
      </c>
      <c r="N8" s="8">
        <v>3.4708999999999999E-4</v>
      </c>
      <c r="O8" s="8">
        <v>1.7241800000000001E-3</v>
      </c>
      <c r="P8" s="8">
        <v>-6.1653100000000002E-2</v>
      </c>
      <c r="Q8">
        <v>3.45</v>
      </c>
      <c r="R8">
        <v>168.27500000000001</v>
      </c>
      <c r="S8" s="8">
        <v>-1.9194399999999999E-3</v>
      </c>
      <c r="T8" s="8">
        <v>1.3883599999999999E-3</v>
      </c>
      <c r="U8" s="8">
        <v>4.2448599999999996E-3</v>
      </c>
      <c r="V8" t="s">
        <v>205</v>
      </c>
      <c r="W8" t="s">
        <v>205</v>
      </c>
    </row>
    <row r="9" spans="1:35" customFormat="1" ht="15" x14ac:dyDescent="0.25">
      <c r="N9" s="8"/>
      <c r="O9" s="8"/>
      <c r="P9" s="8"/>
      <c r="S9" s="8"/>
      <c r="T9" s="8"/>
      <c r="U9" s="8"/>
    </row>
    <row r="10" spans="1:35" customFormat="1" ht="15" x14ac:dyDescent="0.25">
      <c r="N10" s="8"/>
      <c r="O10" s="8"/>
      <c r="P10" s="8"/>
      <c r="S10" s="8"/>
      <c r="T10" s="8"/>
      <c r="U10" s="8"/>
    </row>
    <row r="11" spans="1:35" ht="15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 s="8"/>
      <c r="O11" s="8"/>
      <c r="P11" s="8"/>
      <c r="Q11"/>
      <c r="R11"/>
      <c r="S11" s="8"/>
      <c r="T11" s="8"/>
      <c r="U11" s="8"/>
      <c r="V11"/>
      <c r="W11"/>
    </row>
    <row r="12" spans="1:35" ht="15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 s="8"/>
      <c r="O12" s="8"/>
      <c r="P12" s="8"/>
      <c r="Q12"/>
      <c r="R12"/>
      <c r="S12" s="8"/>
      <c r="T12" s="8"/>
      <c r="U12" s="8"/>
      <c r="V12"/>
      <c r="W12"/>
    </row>
    <row r="13" spans="1:35" ht="15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 s="8"/>
      <c r="O13" s="8"/>
      <c r="P13" s="8"/>
      <c r="Q13"/>
      <c r="R13"/>
      <c r="S13" s="8"/>
      <c r="T13" s="8"/>
      <c r="U13" s="8"/>
      <c r="V13"/>
      <c r="W13"/>
    </row>
    <row r="14" spans="1:35" ht="15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 s="8"/>
      <c r="O14" s="8"/>
      <c r="P14" s="8"/>
      <c r="Q14"/>
      <c r="R14"/>
      <c r="S14" s="8"/>
      <c r="T14" s="8"/>
      <c r="U14" s="8"/>
      <c r="V14"/>
      <c r="W14"/>
    </row>
    <row r="15" spans="1:35" ht="15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 s="8"/>
      <c r="O15" s="8"/>
      <c r="P15" s="8"/>
      <c r="Q15"/>
      <c r="R15"/>
      <c r="S15" s="8"/>
      <c r="T15" s="8"/>
      <c r="U15" s="8"/>
      <c r="V15"/>
      <c r="W15"/>
    </row>
    <row r="16" spans="1:35" ht="15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 s="8"/>
      <c r="O16" s="8"/>
      <c r="P16" s="8"/>
      <c r="Q16"/>
      <c r="R16"/>
      <c r="S16" s="8"/>
      <c r="T16" s="8"/>
      <c r="U16" s="8"/>
      <c r="V16"/>
      <c r="W16"/>
    </row>
    <row r="17" spans="1:23" ht="15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 s="8"/>
      <c r="O17" s="8"/>
      <c r="P17" s="8"/>
      <c r="Q17"/>
      <c r="R17"/>
      <c r="S17" s="8"/>
      <c r="T17" s="8"/>
      <c r="U17" s="8"/>
      <c r="V17"/>
      <c r="W17"/>
    </row>
    <row r="18" spans="1:23" ht="15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 s="8"/>
      <c r="O18" s="8"/>
      <c r="P18" s="8"/>
      <c r="Q18"/>
      <c r="R18"/>
      <c r="S18" s="8"/>
      <c r="T18" s="8"/>
      <c r="U18" s="8"/>
      <c r="V18"/>
      <c r="W18"/>
    </row>
    <row r="19" spans="1:23" ht="15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 s="8"/>
      <c r="O19" s="8"/>
      <c r="P19" s="8"/>
      <c r="Q19"/>
      <c r="R19"/>
      <c r="S19" s="8"/>
      <c r="T19" s="8"/>
      <c r="U19" s="8"/>
      <c r="V19"/>
      <c r="W19"/>
    </row>
    <row r="20" spans="1:23" ht="15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 s="8"/>
      <c r="O20" s="8"/>
      <c r="P20" s="8"/>
      <c r="Q20"/>
      <c r="R20"/>
      <c r="S20" s="8"/>
      <c r="T20" s="8"/>
      <c r="U20" s="8"/>
      <c r="V20"/>
      <c r="W20"/>
    </row>
    <row r="21" spans="1:23" ht="15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 s="8"/>
      <c r="O21" s="8"/>
      <c r="P21" s="8"/>
      <c r="Q21"/>
      <c r="R21"/>
      <c r="S21" s="8"/>
      <c r="T21" s="8"/>
      <c r="U21" s="8"/>
      <c r="V21"/>
      <c r="W21"/>
    </row>
    <row r="22" spans="1:23" ht="15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 s="8"/>
      <c r="O22" s="8"/>
      <c r="P22" s="8"/>
      <c r="Q22"/>
      <c r="R22"/>
      <c r="S22" s="8"/>
      <c r="T22" s="8"/>
      <c r="U22" s="8"/>
      <c r="V22"/>
      <c r="W22"/>
    </row>
    <row r="23" spans="1:23" ht="15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 s="8"/>
      <c r="O23" s="8"/>
      <c r="P23" s="8"/>
      <c r="Q23"/>
      <c r="R23"/>
      <c r="S23" s="8"/>
      <c r="T23" s="8"/>
      <c r="U23" s="8"/>
      <c r="V23"/>
      <c r="W23"/>
    </row>
    <row r="24" spans="1:23" ht="15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 s="8"/>
      <c r="O24" s="8"/>
      <c r="P24" s="8"/>
      <c r="Q24"/>
      <c r="R24"/>
      <c r="S24" s="8"/>
      <c r="T24" s="8"/>
      <c r="U24" s="8"/>
      <c r="V24"/>
      <c r="W24"/>
    </row>
    <row r="25" spans="1:23" ht="15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 s="8"/>
      <c r="O25" s="8"/>
      <c r="P25" s="8"/>
      <c r="Q25"/>
      <c r="R25"/>
      <c r="S25" s="8"/>
      <c r="T25" s="8"/>
      <c r="U25" s="8"/>
      <c r="V25"/>
      <c r="W25"/>
    </row>
    <row r="26" spans="1:23" ht="15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 s="8"/>
      <c r="O26" s="8"/>
      <c r="P26" s="8"/>
      <c r="Q26"/>
      <c r="R26"/>
      <c r="S26" s="8"/>
      <c r="T26" s="8"/>
      <c r="U26" s="8"/>
      <c r="V26"/>
      <c r="W26"/>
    </row>
    <row r="27" spans="1:23" ht="15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 s="8"/>
      <c r="O27" s="8"/>
      <c r="P27" s="8"/>
      <c r="Q27"/>
      <c r="R27"/>
      <c r="S27" s="8"/>
      <c r="T27" s="8"/>
      <c r="U27" s="8"/>
      <c r="V27"/>
      <c r="W27"/>
    </row>
    <row r="28" spans="1:23" ht="15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 s="8"/>
      <c r="O28" s="8"/>
      <c r="P28" s="8"/>
      <c r="Q28"/>
      <c r="R28"/>
      <c r="S28" s="8"/>
      <c r="T28" s="8"/>
      <c r="U28" s="8"/>
      <c r="V28"/>
      <c r="W28"/>
    </row>
    <row r="29" spans="1:23" ht="15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 s="8"/>
      <c r="O29" s="8"/>
      <c r="P29" s="8"/>
      <c r="Q29"/>
      <c r="R29"/>
      <c r="S29" s="8"/>
      <c r="T29" s="8"/>
      <c r="U29" s="8"/>
      <c r="V29"/>
      <c r="W29"/>
    </row>
  </sheetData>
  <pageMargins left="0.75" right="0.75" top="1" bottom="1" header="0.5" footer="0.5"/>
  <pageSetup orientation="portrait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1:FB40"/>
  <sheetViews>
    <sheetView workbookViewId="0"/>
  </sheetViews>
  <sheetFormatPr defaultRowHeight="12.75" x14ac:dyDescent="0.2"/>
  <cols>
    <col min="1" max="16384" width="9.140625" style="1"/>
  </cols>
  <sheetData>
    <row r="11" spans="12:13" x14ac:dyDescent="0.2">
      <c r="L11" s="3"/>
      <c r="M11" s="3"/>
    </row>
    <row r="12" spans="12:13" x14ac:dyDescent="0.2">
      <c r="L12" s="3"/>
      <c r="M12" s="3"/>
    </row>
    <row r="13" spans="12:13" x14ac:dyDescent="0.2">
      <c r="M13" s="3"/>
    </row>
    <row r="14" spans="12:13" x14ac:dyDescent="0.2">
      <c r="M14" s="3"/>
    </row>
    <row r="15" spans="12:13" x14ac:dyDescent="0.2">
      <c r="M15" s="3"/>
    </row>
    <row r="16" spans="12:13" x14ac:dyDescent="0.2">
      <c r="M16" s="3"/>
    </row>
    <row r="17" spans="13:13" x14ac:dyDescent="0.2">
      <c r="M17" s="3"/>
    </row>
    <row r="18" spans="13:13" x14ac:dyDescent="0.2">
      <c r="M18" s="3"/>
    </row>
    <row r="19" spans="13:13" x14ac:dyDescent="0.2">
      <c r="M19" s="3"/>
    </row>
    <row r="20" spans="13:13" x14ac:dyDescent="0.2">
      <c r="M20" s="3"/>
    </row>
    <row r="21" spans="13:13" x14ac:dyDescent="0.2">
      <c r="M21" s="3"/>
    </row>
    <row r="34" spans="1:158" ht="15" x14ac:dyDescent="0.2">
      <c r="B34" s="18"/>
    </row>
    <row r="36" spans="1:158" x14ac:dyDescent="0.2">
      <c r="A36" s="6" t="e">
        <f t="shared" ref="A36" si="0">O36/M36*100</f>
        <v>#DIV/0!</v>
      </c>
      <c r="B36" s="6" t="e">
        <f t="shared" ref="B36" si="1">P36/N36*100</f>
        <v>#DIV/0!</v>
      </c>
    </row>
    <row r="37" spans="1:158" ht="15" x14ac:dyDescent="0.25">
      <c r="A37" s="1" t="s">
        <v>250</v>
      </c>
      <c r="B37" s="1" t="s">
        <v>249</v>
      </c>
      <c r="C37" t="s">
        <v>2</v>
      </c>
      <c r="D37" t="s">
        <v>23</v>
      </c>
      <c r="E37" t="s">
        <v>30</v>
      </c>
      <c r="F37" t="s">
        <v>1</v>
      </c>
      <c r="G37" t="s">
        <v>340</v>
      </c>
      <c r="H37" t="s">
        <v>341</v>
      </c>
      <c r="I37" t="s">
        <v>342</v>
      </c>
      <c r="J37" t="s">
        <v>31</v>
      </c>
      <c r="K37" t="s">
        <v>32</v>
      </c>
      <c r="L37" t="s">
        <v>33</v>
      </c>
      <c r="M37" t="s">
        <v>34</v>
      </c>
      <c r="N37" t="s">
        <v>35</v>
      </c>
      <c r="O37" t="s">
        <v>36</v>
      </c>
      <c r="P37" t="s">
        <v>37</v>
      </c>
      <c r="Q37" t="s">
        <v>38</v>
      </c>
      <c r="R37" t="s">
        <v>39</v>
      </c>
      <c r="S37" t="s">
        <v>40</v>
      </c>
      <c r="T37" t="s">
        <v>41</v>
      </c>
      <c r="U37" t="s">
        <v>42</v>
      </c>
      <c r="V37" t="s">
        <v>343</v>
      </c>
      <c r="W37" t="s">
        <v>344</v>
      </c>
      <c r="X37" t="s">
        <v>43</v>
      </c>
      <c r="Y37" t="s">
        <v>44</v>
      </c>
      <c r="Z37" t="s">
        <v>45</v>
      </c>
      <c r="AA37" t="s">
        <v>46</v>
      </c>
      <c r="AB37" s="19" t="s">
        <v>47</v>
      </c>
      <c r="AC37" s="19" t="s">
        <v>48</v>
      </c>
      <c r="AD37" s="19" t="s">
        <v>49</v>
      </c>
      <c r="AE37" t="s">
        <v>50</v>
      </c>
      <c r="AF37" t="s">
        <v>51</v>
      </c>
      <c r="AG37" t="s">
        <v>345</v>
      </c>
      <c r="AH37" s="19" t="s">
        <v>346</v>
      </c>
      <c r="AI37" t="s">
        <v>57</v>
      </c>
      <c r="AJ37" t="s">
        <v>282</v>
      </c>
      <c r="AK37" t="s">
        <v>58</v>
      </c>
      <c r="AL37" t="s">
        <v>59</v>
      </c>
      <c r="AM37" t="s">
        <v>359</v>
      </c>
      <c r="AN37" t="s">
        <v>360</v>
      </c>
      <c r="AO37" s="19" t="s">
        <v>60</v>
      </c>
      <c r="AP37" s="19" t="s">
        <v>61</v>
      </c>
      <c r="AQ37" s="19" t="s">
        <v>62</v>
      </c>
      <c r="AR37" s="19" t="s">
        <v>63</v>
      </c>
      <c r="AS37" s="19" t="s">
        <v>64</v>
      </c>
      <c r="AT37" s="19" t="s">
        <v>67</v>
      </c>
      <c r="AU37" s="19" t="s">
        <v>68</v>
      </c>
      <c r="AV37" s="19" t="s">
        <v>69</v>
      </c>
      <c r="AW37" s="19" t="s">
        <v>70</v>
      </c>
      <c r="AX37" s="19" t="s">
        <v>71</v>
      </c>
      <c r="AY37" s="19" t="s">
        <v>72</v>
      </c>
      <c r="AZ37" s="19" t="s">
        <v>73</v>
      </c>
      <c r="BA37" s="19" t="s">
        <v>74</v>
      </c>
      <c r="BB37" s="19" t="s">
        <v>75</v>
      </c>
      <c r="BC37" s="19" t="s">
        <v>314</v>
      </c>
      <c r="BD37" s="19" t="s">
        <v>76</v>
      </c>
      <c r="BE37" s="19" t="s">
        <v>77</v>
      </c>
      <c r="BF37" t="s">
        <v>78</v>
      </c>
      <c r="BG37" t="s">
        <v>79</v>
      </c>
      <c r="BH37" t="s">
        <v>80</v>
      </c>
      <c r="BI37" t="s">
        <v>81</v>
      </c>
      <c r="BJ37" t="s">
        <v>82</v>
      </c>
      <c r="BK37" t="s">
        <v>83</v>
      </c>
      <c r="BL37" t="s">
        <v>84</v>
      </c>
      <c r="BM37" t="s">
        <v>85</v>
      </c>
      <c r="BN37" t="s">
        <v>86</v>
      </c>
      <c r="BO37" t="s">
        <v>87</v>
      </c>
      <c r="BP37" t="s">
        <v>88</v>
      </c>
      <c r="BQ37" t="s">
        <v>89</v>
      </c>
      <c r="BR37" t="s">
        <v>90</v>
      </c>
      <c r="BS37" t="s">
        <v>91</v>
      </c>
      <c r="BT37" t="s">
        <v>92</v>
      </c>
      <c r="BU37" t="s">
        <v>93</v>
      </c>
      <c r="BV37" t="s">
        <v>94</v>
      </c>
      <c r="BW37" t="s">
        <v>95</v>
      </c>
      <c r="BX37" t="s">
        <v>96</v>
      </c>
      <c r="BY37" t="s">
        <v>97</v>
      </c>
      <c r="BZ37" t="s">
        <v>98</v>
      </c>
      <c r="CA37" t="s">
        <v>99</v>
      </c>
      <c r="CB37" t="s">
        <v>100</v>
      </c>
      <c r="CC37" t="s">
        <v>101</v>
      </c>
      <c r="CD37" t="s">
        <v>102</v>
      </c>
      <c r="CE37" t="s">
        <v>103</v>
      </c>
      <c r="CF37" t="s">
        <v>104</v>
      </c>
      <c r="CG37" t="s">
        <v>105</v>
      </c>
      <c r="CH37" t="s">
        <v>106</v>
      </c>
      <c r="CI37" t="s">
        <v>107</v>
      </c>
      <c r="CJ37" t="s">
        <v>108</v>
      </c>
      <c r="CK37" t="s">
        <v>109</v>
      </c>
      <c r="CL37" t="s">
        <v>110</v>
      </c>
      <c r="CM37" t="s">
        <v>111</v>
      </c>
      <c r="CN37" t="s">
        <v>112</v>
      </c>
      <c r="CO37" t="s">
        <v>113</v>
      </c>
      <c r="CP37" t="s">
        <v>114</v>
      </c>
      <c r="CQ37" t="s">
        <v>115</v>
      </c>
      <c r="CR37" t="s">
        <v>116</v>
      </c>
      <c r="CS37" t="s">
        <v>117</v>
      </c>
      <c r="CT37" t="s">
        <v>118</v>
      </c>
      <c r="CU37" t="s">
        <v>119</v>
      </c>
      <c r="CV37" t="s">
        <v>120</v>
      </c>
      <c r="CW37" t="s">
        <v>121</v>
      </c>
      <c r="CX37" t="s">
        <v>122</v>
      </c>
      <c r="CY37" t="s">
        <v>123</v>
      </c>
      <c r="CZ37" t="s">
        <v>124</v>
      </c>
      <c r="DA37" t="s">
        <v>125</v>
      </c>
      <c r="DB37" t="s">
        <v>126</v>
      </c>
      <c r="DC37" t="s">
        <v>127</v>
      </c>
      <c r="DD37" t="s">
        <v>128</v>
      </c>
      <c r="DE37" t="s">
        <v>129</v>
      </c>
      <c r="DF37" t="s">
        <v>130</v>
      </c>
      <c r="DG37" t="s">
        <v>131</v>
      </c>
      <c r="DH37" t="s">
        <v>132</v>
      </c>
      <c r="DI37" t="s">
        <v>133</v>
      </c>
      <c r="DJ37" t="s">
        <v>134</v>
      </c>
      <c r="DK37" t="s">
        <v>135</v>
      </c>
      <c r="DL37" t="s">
        <v>136</v>
      </c>
      <c r="DM37" t="s">
        <v>137</v>
      </c>
      <c r="DN37" t="s">
        <v>138</v>
      </c>
      <c r="DO37" t="s">
        <v>139</v>
      </c>
      <c r="DP37" s="2" t="s">
        <v>140</v>
      </c>
      <c r="DQ37" s="2" t="s">
        <v>141</v>
      </c>
      <c r="DR37" s="2" t="s">
        <v>142</v>
      </c>
      <c r="DS37" s="2" t="s">
        <v>143</v>
      </c>
      <c r="DT37" s="2" t="s">
        <v>144</v>
      </c>
      <c r="DU37" s="2" t="s">
        <v>145</v>
      </c>
      <c r="DV37" s="2" t="s">
        <v>146</v>
      </c>
      <c r="DW37" s="2" t="s">
        <v>147</v>
      </c>
      <c r="DX37" s="2" t="s">
        <v>148</v>
      </c>
      <c r="DY37" s="2" t="s">
        <v>149</v>
      </c>
      <c r="DZ37" s="2" t="s">
        <v>150</v>
      </c>
      <c r="EA37" s="2" t="s">
        <v>151</v>
      </c>
      <c r="EB37" s="2" t="s">
        <v>152</v>
      </c>
      <c r="EC37" s="2" t="s">
        <v>153</v>
      </c>
      <c r="ED37" s="2" t="s">
        <v>154</v>
      </c>
      <c r="EE37" s="2" t="s">
        <v>155</v>
      </c>
      <c r="EF37" s="2" t="s">
        <v>156</v>
      </c>
      <c r="EG37" s="2" t="s">
        <v>157</v>
      </c>
      <c r="EH37" s="2" t="s">
        <v>158</v>
      </c>
      <c r="EI37" s="2" t="s">
        <v>159</v>
      </c>
      <c r="EJ37" s="2" t="s">
        <v>160</v>
      </c>
      <c r="EK37" s="2" t="s">
        <v>161</v>
      </c>
      <c r="EL37" s="2" t="s">
        <v>162</v>
      </c>
      <c r="EM37" s="2" t="s">
        <v>163</v>
      </c>
      <c r="EN37" s="2" t="s">
        <v>164</v>
      </c>
      <c r="EO37" s="2" t="s">
        <v>165</v>
      </c>
      <c r="EP37" s="2" t="s">
        <v>166</v>
      </c>
      <c r="EQ37" s="2" t="s">
        <v>167</v>
      </c>
      <c r="ER37" s="2" t="s">
        <v>168</v>
      </c>
      <c r="ES37" s="2" t="s">
        <v>169</v>
      </c>
      <c r="ET37" s="2" t="s">
        <v>170</v>
      </c>
      <c r="EU37" s="2" t="s">
        <v>171</v>
      </c>
      <c r="EV37" s="2" t="s">
        <v>172</v>
      </c>
      <c r="EW37" s="2" t="s">
        <v>173</v>
      </c>
      <c r="EX37" s="2" t="s">
        <v>174</v>
      </c>
      <c r="EY37" s="2" t="s">
        <v>175</v>
      </c>
      <c r="EZ37" s="2" t="s">
        <v>176</v>
      </c>
      <c r="FA37" s="2" t="s">
        <v>177</v>
      </c>
      <c r="FB37" s="2" t="s">
        <v>178</v>
      </c>
    </row>
    <row r="38" spans="1:158" ht="15" x14ac:dyDescent="0.25">
      <c r="A38" s="6">
        <f t="shared" ref="A38:A40" si="2">O38/M38*100</f>
        <v>604</v>
      </c>
      <c r="B38" s="6">
        <f t="shared" ref="B38:B40" si="3">P38/N38*100</f>
        <v>604</v>
      </c>
      <c r="C38">
        <v>1</v>
      </c>
      <c r="D38">
        <v>2</v>
      </c>
      <c r="E38">
        <v>1</v>
      </c>
      <c r="F38">
        <v>1</v>
      </c>
      <c r="G38">
        <v>2</v>
      </c>
      <c r="H38">
        <v>1</v>
      </c>
      <c r="I38">
        <v>0</v>
      </c>
      <c r="J38">
        <v>-0.5</v>
      </c>
      <c r="K38">
        <v>-0.25</v>
      </c>
      <c r="L38">
        <v>0.3</v>
      </c>
      <c r="M38">
        <v>0.5</v>
      </c>
      <c r="N38">
        <v>0.5</v>
      </c>
      <c r="O38">
        <v>3.02</v>
      </c>
      <c r="P38">
        <v>3.02</v>
      </c>
      <c r="Q38">
        <v>2.7827599999999999E-4</v>
      </c>
      <c r="R38">
        <v>2.7827599999999999E-4</v>
      </c>
      <c r="S38">
        <v>1</v>
      </c>
      <c r="T38">
        <v>0</v>
      </c>
      <c r="U38">
        <v>0</v>
      </c>
      <c r="V38">
        <v>0</v>
      </c>
      <c r="W38">
        <v>0</v>
      </c>
      <c r="X38">
        <v>5.3562599999999998</v>
      </c>
      <c r="Y38">
        <v>2.70104E-3</v>
      </c>
      <c r="Z38">
        <v>2.70104E-3</v>
      </c>
      <c r="AA38">
        <v>5.0423099999999996</v>
      </c>
      <c r="AB38" s="19">
        <v>2.2380999999999998E-3</v>
      </c>
      <c r="AC38" s="19">
        <v>2.2380999999999998E-3</v>
      </c>
      <c r="AD38" s="19">
        <v>6.6928999999999998</v>
      </c>
      <c r="AE38">
        <v>4.7278499999999996E-3</v>
      </c>
      <c r="AF38">
        <v>4.7278499999999996E-3</v>
      </c>
      <c r="AG38">
        <v>7.3217100000000004</v>
      </c>
      <c r="AH38" s="19">
        <v>5.6750699999999999E-3</v>
      </c>
      <c r="AI38">
        <v>5.6750699999999999E-3</v>
      </c>
      <c r="AJ38">
        <v>5.0663900000000002</v>
      </c>
      <c r="AK38">
        <v>2.2536700000000002E-3</v>
      </c>
      <c r="AL38">
        <v>2.2536700000000002E-3</v>
      </c>
      <c r="AM38">
        <v>4.9685199999999998</v>
      </c>
      <c r="AN38">
        <v>2.1344599999999999E-3</v>
      </c>
      <c r="AO38" s="19">
        <v>2.1344599999999999E-3</v>
      </c>
      <c r="AP38" s="19">
        <v>10.3735</v>
      </c>
      <c r="AQ38" s="19">
        <v>1.5778799999999999E-2</v>
      </c>
      <c r="AR38" s="19">
        <v>1.5778799999999999E-2</v>
      </c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  <c r="EA38" s="2"/>
      <c r="EB38" s="2"/>
      <c r="EC38" s="2"/>
      <c r="ED38" s="2"/>
      <c r="EE38" s="2"/>
      <c r="EF38" s="2"/>
      <c r="EG38" s="2"/>
      <c r="EH38" s="2"/>
      <c r="EI38" s="2"/>
      <c r="EJ38" s="2"/>
      <c r="EK38" s="2"/>
      <c r="EL38" s="2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  <c r="EZ38" s="2"/>
      <c r="FA38" s="2"/>
      <c r="FB38" s="2"/>
    </row>
    <row r="39" spans="1:158" ht="15" x14ac:dyDescent="0.25">
      <c r="A39" s="6">
        <f t="shared" si="2"/>
        <v>72.298444147057907</v>
      </c>
      <c r="B39" s="6">
        <f t="shared" si="3"/>
        <v>50.201971507887698</v>
      </c>
      <c r="C39">
        <v>1</v>
      </c>
      <c r="D39">
        <v>2</v>
      </c>
      <c r="E39">
        <v>1</v>
      </c>
      <c r="F39">
        <v>1</v>
      </c>
      <c r="G39">
        <v>2</v>
      </c>
      <c r="H39">
        <v>1</v>
      </c>
      <c r="I39">
        <v>1</v>
      </c>
      <c r="J39">
        <v>0.5</v>
      </c>
      <c r="K39">
        <v>0.75</v>
      </c>
      <c r="L39">
        <v>0.3</v>
      </c>
      <c r="M39">
        <v>4.17713</v>
      </c>
      <c r="N39">
        <v>6.0156999999999998</v>
      </c>
      <c r="O39">
        <v>3.02</v>
      </c>
      <c r="P39">
        <v>3.02</v>
      </c>
      <c r="Q39">
        <v>1.88305E-3</v>
      </c>
      <c r="R39">
        <v>3.9813599999999998E-3</v>
      </c>
      <c r="S39">
        <v>1</v>
      </c>
      <c r="T39">
        <v>0.21</v>
      </c>
      <c r="U39">
        <v>1.5879900000000001E-3</v>
      </c>
      <c r="V39">
        <v>1.5879900000000001E-3</v>
      </c>
      <c r="W39">
        <v>0.21</v>
      </c>
      <c r="X39">
        <v>9.9552200000000006</v>
      </c>
      <c r="Y39">
        <v>1.36563E-2</v>
      </c>
      <c r="Z39">
        <v>1.36563E-2</v>
      </c>
      <c r="AA39">
        <v>9.3775099999999991</v>
      </c>
      <c r="AB39" s="19">
        <v>1.15581E-2</v>
      </c>
      <c r="AC39" s="19">
        <v>1.15581E-2</v>
      </c>
      <c r="AD39" s="19">
        <v>10.6447</v>
      </c>
      <c r="AE39">
        <v>1.54853E-2</v>
      </c>
      <c r="AF39">
        <v>1.54853E-2</v>
      </c>
      <c r="AG39">
        <v>10.598599999999999</v>
      </c>
      <c r="AH39" s="19">
        <v>1.4848500000000001E-2</v>
      </c>
      <c r="AI39">
        <v>1.4848500000000001E-2</v>
      </c>
      <c r="AJ39">
        <v>9.2757199999999997</v>
      </c>
      <c r="AK39">
        <v>1.1056699999999999E-2</v>
      </c>
      <c r="AL39">
        <v>1.1056699999999999E-2</v>
      </c>
      <c r="AM39">
        <v>9.2257899999999999</v>
      </c>
      <c r="AN39">
        <v>1.1041799999999999E-2</v>
      </c>
      <c r="AO39" s="19">
        <v>1.1041799999999999E-2</v>
      </c>
      <c r="AP39" s="19">
        <v>14.6206</v>
      </c>
      <c r="AQ39" s="19">
        <v>4.0977E-2</v>
      </c>
      <c r="AR39" s="19">
        <v>4.0977E-2</v>
      </c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  <c r="EA39" s="2"/>
      <c r="EB39" s="2"/>
      <c r="EC39" s="2"/>
      <c r="ED39" s="2"/>
      <c r="EE39" s="2"/>
      <c r="EF39" s="2"/>
      <c r="EG39" s="2"/>
      <c r="EH39" s="2"/>
      <c r="EI39" s="2"/>
      <c r="EJ39" s="2"/>
      <c r="EK39" s="2"/>
      <c r="EL39" s="2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  <c r="EZ39" s="2"/>
      <c r="FA39" s="2"/>
      <c r="FB39" s="2"/>
    </row>
    <row r="40" spans="1:158" ht="15" x14ac:dyDescent="0.25">
      <c r="A40" s="6">
        <f t="shared" si="2"/>
        <v>26.189361222401441</v>
      </c>
      <c r="B40" s="6">
        <f t="shared" si="3"/>
        <v>20.337474517682512</v>
      </c>
      <c r="C40">
        <v>1</v>
      </c>
      <c r="D40">
        <v>2</v>
      </c>
      <c r="E40">
        <v>1</v>
      </c>
      <c r="F40">
        <v>1</v>
      </c>
      <c r="G40">
        <v>2</v>
      </c>
      <c r="H40">
        <v>1</v>
      </c>
      <c r="I40">
        <v>2</v>
      </c>
      <c r="J40">
        <v>1.5</v>
      </c>
      <c r="K40">
        <v>1.75</v>
      </c>
      <c r="L40">
        <v>0.3</v>
      </c>
      <c r="M40">
        <v>11.5314</v>
      </c>
      <c r="N40">
        <v>13.5388</v>
      </c>
      <c r="O40">
        <v>3.02</v>
      </c>
      <c r="P40">
        <v>2.75345</v>
      </c>
      <c r="Q40">
        <v>2.1410499999999999E-2</v>
      </c>
      <c r="R40">
        <v>3.3241300000000001E-2</v>
      </c>
      <c r="S40">
        <v>1</v>
      </c>
      <c r="T40">
        <v>0.86</v>
      </c>
      <c r="U40">
        <v>4.0773900000000002E-2</v>
      </c>
      <c r="V40">
        <v>4.0773900000000002E-2</v>
      </c>
      <c r="W40">
        <v>0.86</v>
      </c>
      <c r="X40">
        <v>16.009699999999999</v>
      </c>
      <c r="Y40">
        <v>5.4658900000000003E-2</v>
      </c>
      <c r="Z40">
        <v>5.4658900000000003E-2</v>
      </c>
      <c r="AA40">
        <v>15.611700000000001</v>
      </c>
      <c r="AB40" s="19">
        <v>5.0672200000000001E-2</v>
      </c>
      <c r="AC40" s="19">
        <v>5.0672200000000001E-2</v>
      </c>
      <c r="AD40" s="19">
        <v>14.7623</v>
      </c>
      <c r="AE40">
        <v>4.0815499999999998E-2</v>
      </c>
      <c r="AF40">
        <v>4.0815499999999998E-2</v>
      </c>
      <c r="AG40">
        <v>14.427</v>
      </c>
      <c r="AH40" s="19">
        <v>3.8568900000000003E-2</v>
      </c>
      <c r="AI40">
        <v>3.8568900000000003E-2</v>
      </c>
      <c r="AJ40">
        <v>15.197100000000001</v>
      </c>
      <c r="AK40">
        <v>4.6389600000000003E-2</v>
      </c>
      <c r="AL40">
        <v>4.6389600000000003E-2</v>
      </c>
      <c r="AM40">
        <v>15.504</v>
      </c>
      <c r="AN40">
        <v>4.9630599999999997E-2</v>
      </c>
      <c r="AO40" s="19">
        <v>4.9630599999999997E-2</v>
      </c>
      <c r="AP40" s="19">
        <v>18.936299999999999</v>
      </c>
      <c r="AQ40" s="19">
        <v>9.1063000000000005E-2</v>
      </c>
      <c r="AR40" s="19">
        <v>9.1063000000000005E-2</v>
      </c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/>
      <c r="BG40"/>
      <c r="BH40"/>
      <c r="BI40"/>
      <c r="BJ40"/>
      <c r="BK40"/>
      <c r="BL40"/>
      <c r="BM40"/>
      <c r="BN40"/>
    </row>
  </sheetData>
  <pageMargins left="0.75" right="0.75" top="1" bottom="1" header="0.5" footer="0.5"/>
  <headerFooter alignWithMargins="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BY7"/>
  <sheetViews>
    <sheetView workbookViewId="0"/>
  </sheetViews>
  <sheetFormatPr defaultRowHeight="15" x14ac:dyDescent="0.25"/>
  <sheetData>
    <row r="1" spans="1:77" s="19" customFormat="1" x14ac:dyDescent="0.25">
      <c r="A1" t="s">
        <v>188</v>
      </c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V1"/>
      <c r="W1"/>
      <c r="X1"/>
      <c r="Y1"/>
      <c r="AC1"/>
      <c r="AD1"/>
      <c r="AE1"/>
      <c r="AG1"/>
      <c r="AH1"/>
      <c r="AI1"/>
      <c r="AJ1"/>
      <c r="AK1"/>
      <c r="AL1"/>
      <c r="AR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</row>
    <row r="2" spans="1:77" s="19" customFormat="1" x14ac:dyDescent="0.25">
      <c r="A2" t="s">
        <v>189</v>
      </c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V2"/>
      <c r="W2"/>
      <c r="X2"/>
      <c r="Y2"/>
      <c r="AC2"/>
      <c r="AD2"/>
      <c r="AE2"/>
      <c r="AG2"/>
      <c r="AH2"/>
      <c r="AI2"/>
      <c r="AJ2"/>
      <c r="AK2"/>
      <c r="AL2"/>
      <c r="AR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</row>
    <row r="3" spans="1:77" s="19" customFormat="1" x14ac:dyDescent="0.25">
      <c r="A3" t="s">
        <v>190</v>
      </c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V3"/>
      <c r="W3"/>
      <c r="X3"/>
      <c r="Y3"/>
      <c r="AC3"/>
      <c r="AD3"/>
      <c r="AE3"/>
      <c r="AG3"/>
      <c r="AH3"/>
      <c r="AI3"/>
      <c r="AJ3"/>
      <c r="AK3"/>
      <c r="AL3"/>
      <c r="AR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</row>
    <row r="4" spans="1:77" s="19" customFormat="1" x14ac:dyDescent="0.25">
      <c r="A4" t="s">
        <v>191</v>
      </c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V4"/>
      <c r="W4"/>
      <c r="X4"/>
      <c r="Y4"/>
      <c r="AC4"/>
      <c r="AD4"/>
      <c r="AE4"/>
      <c r="AG4"/>
      <c r="AH4"/>
      <c r="AI4"/>
      <c r="AJ4"/>
      <c r="AK4"/>
      <c r="AL4"/>
      <c r="AR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</row>
    <row r="5" spans="1:77" s="19" customFormat="1" x14ac:dyDescent="0.25">
      <c r="A5" t="s">
        <v>319</v>
      </c>
      <c r="B5" t="s">
        <v>353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V5"/>
      <c r="W5"/>
      <c r="X5"/>
      <c r="Y5"/>
      <c r="AC5"/>
      <c r="AD5"/>
      <c r="AE5"/>
      <c r="AG5"/>
      <c r="AH5"/>
      <c r="AI5"/>
      <c r="AJ5"/>
      <c r="AK5"/>
      <c r="AL5"/>
      <c r="AR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</row>
    <row r="6" spans="1:77" s="19" customFormat="1" x14ac:dyDescent="0.25">
      <c r="A6" t="s">
        <v>187</v>
      </c>
      <c r="B6" t="s">
        <v>0</v>
      </c>
      <c r="C6" t="s">
        <v>183</v>
      </c>
      <c r="D6" t="s">
        <v>184</v>
      </c>
      <c r="E6" t="s">
        <v>185</v>
      </c>
      <c r="F6">
        <v>1</v>
      </c>
      <c r="G6">
        <v>2</v>
      </c>
      <c r="H6">
        <v>3</v>
      </c>
      <c r="I6">
        <v>4</v>
      </c>
      <c r="J6">
        <v>5</v>
      </c>
      <c r="K6">
        <v>6</v>
      </c>
      <c r="L6">
        <v>7</v>
      </c>
      <c r="M6">
        <v>8</v>
      </c>
      <c r="N6">
        <v>9</v>
      </c>
      <c r="O6">
        <v>10</v>
      </c>
      <c r="P6">
        <v>11</v>
      </c>
      <c r="Q6">
        <v>12</v>
      </c>
      <c r="R6">
        <v>13</v>
      </c>
      <c r="S6" s="19">
        <v>14</v>
      </c>
      <c r="T6" s="19">
        <v>15</v>
      </c>
      <c r="U6" s="19">
        <v>16</v>
      </c>
      <c r="V6">
        <v>17</v>
      </c>
      <c r="W6">
        <v>18</v>
      </c>
      <c r="X6">
        <v>19</v>
      </c>
      <c r="Y6">
        <v>20</v>
      </c>
      <c r="Z6" s="19">
        <v>21</v>
      </c>
      <c r="AA6" s="19">
        <v>22</v>
      </c>
      <c r="AB6" s="19">
        <v>23</v>
      </c>
      <c r="AC6">
        <v>24</v>
      </c>
      <c r="AD6">
        <v>25</v>
      </c>
      <c r="AE6">
        <v>26</v>
      </c>
      <c r="AF6" s="19">
        <v>27</v>
      </c>
      <c r="AG6">
        <v>28</v>
      </c>
      <c r="AH6">
        <v>29</v>
      </c>
      <c r="AI6">
        <v>30</v>
      </c>
      <c r="AJ6">
        <v>31</v>
      </c>
      <c r="AK6">
        <v>32</v>
      </c>
      <c r="AL6">
        <v>33</v>
      </c>
      <c r="AM6" s="19">
        <v>34</v>
      </c>
      <c r="AN6" s="19">
        <v>35</v>
      </c>
      <c r="AO6" s="19">
        <v>36</v>
      </c>
      <c r="AR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</row>
    <row r="7" spans="1:77" s="19" customFormat="1" x14ac:dyDescent="0.25">
      <c r="A7" t="s">
        <v>186</v>
      </c>
      <c r="B7">
        <v>1</v>
      </c>
      <c r="C7">
        <v>1960</v>
      </c>
      <c r="D7">
        <v>1</v>
      </c>
      <c r="E7" t="s">
        <v>354</v>
      </c>
      <c r="F7" s="8">
        <v>2.0294900000000001E-5</v>
      </c>
      <c r="G7" s="8">
        <v>8.1179499999999998E-5</v>
      </c>
      <c r="H7">
        <v>1.82654E-4</v>
      </c>
      <c r="I7">
        <v>3.2471799999999999E-4</v>
      </c>
      <c r="J7">
        <v>5.0737199999999997E-4</v>
      </c>
      <c r="K7">
        <v>8.4122699999999995E-4</v>
      </c>
      <c r="L7">
        <v>1.3706499999999999E-3</v>
      </c>
      <c r="M7">
        <v>2.1946800000000001E-3</v>
      </c>
      <c r="N7">
        <v>3.4533599999999999E-3</v>
      </c>
      <c r="O7">
        <v>5.3400000000000001E-3</v>
      </c>
      <c r="P7">
        <v>8.1146199999999995E-3</v>
      </c>
      <c r="Q7">
        <v>1.21178E-2</v>
      </c>
      <c r="R7">
        <v>1.7783E-2</v>
      </c>
      <c r="S7" s="19">
        <v>2.56458E-2</v>
      </c>
      <c r="T7" s="19">
        <v>3.6345799999999998E-2</v>
      </c>
      <c r="U7" s="19">
        <v>5.0619699999999997E-2</v>
      </c>
      <c r="V7">
        <v>6.9280800000000003E-2</v>
      </c>
      <c r="W7">
        <v>9.3182600000000004E-2</v>
      </c>
      <c r="X7">
        <v>0.123164</v>
      </c>
      <c r="Y7">
        <v>0.15997800000000001</v>
      </c>
      <c r="Z7" s="19">
        <v>0.204205</v>
      </c>
      <c r="AA7" s="19">
        <v>0.25615199999999999</v>
      </c>
      <c r="AB7" s="19">
        <v>0.31576100000000001</v>
      </c>
      <c r="AC7">
        <v>0.38251400000000002</v>
      </c>
      <c r="AD7">
        <v>0.45536799999999999</v>
      </c>
      <c r="AE7">
        <v>0.53272900000000001</v>
      </c>
      <c r="AF7" s="19">
        <v>0.61246</v>
      </c>
      <c r="AG7">
        <v>0.69195399999999996</v>
      </c>
      <c r="AH7">
        <v>0.76825299999999996</v>
      </c>
      <c r="AI7">
        <v>0.83822200000000002</v>
      </c>
      <c r="AJ7">
        <v>0.898756</v>
      </c>
      <c r="AK7">
        <v>0.94700499999999999</v>
      </c>
      <c r="AL7">
        <v>0.98059700000000005</v>
      </c>
      <c r="AM7" s="19">
        <v>0.99783299999999997</v>
      </c>
      <c r="AN7" s="19">
        <v>0.99999700000000002</v>
      </c>
      <c r="AO7" s="19">
        <v>1</v>
      </c>
      <c r="AR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</row>
  </sheetData>
  <hyperlinks>
    <hyperlink ref="K3" location="Main_List" display="Return to Main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View_Selex_Data">
                <anchor moveWithCells="1" sizeWithCells="1">
                  <from>
                    <xdr:col>5</xdr:col>
                    <xdr:colOff>19050</xdr:colOff>
                    <xdr:row>0</xdr:row>
                    <xdr:rowOff>180975</xdr:rowOff>
                  </from>
                  <to>
                    <xdr:col>8</xdr:col>
                    <xdr:colOff>323850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C7"/>
  <sheetViews>
    <sheetView workbookViewId="0"/>
  </sheetViews>
  <sheetFormatPr defaultRowHeight="15" x14ac:dyDescent="0.25"/>
  <sheetData>
    <row r="1" spans="1:133" ht="240.75" customHeight="1" x14ac:dyDescent="0.25">
      <c r="L1" s="18"/>
    </row>
    <row r="2" spans="1:133" x14ac:dyDescent="0.25">
      <c r="A2" t="s">
        <v>187</v>
      </c>
      <c r="B2" t="s">
        <v>0</v>
      </c>
      <c r="C2" t="s">
        <v>183</v>
      </c>
      <c r="D2" t="s">
        <v>184</v>
      </c>
      <c r="E2" t="s">
        <v>185</v>
      </c>
      <c r="F2">
        <v>1.0004999999999999</v>
      </c>
      <c r="G2">
        <v>3</v>
      </c>
      <c r="H2">
        <v>5</v>
      </c>
      <c r="I2">
        <v>7</v>
      </c>
      <c r="J2">
        <v>9</v>
      </c>
      <c r="K2">
        <v>11</v>
      </c>
      <c r="L2">
        <v>13</v>
      </c>
      <c r="M2">
        <v>15</v>
      </c>
      <c r="N2">
        <v>17</v>
      </c>
      <c r="O2">
        <v>19</v>
      </c>
      <c r="P2">
        <v>21</v>
      </c>
      <c r="Q2">
        <v>23</v>
      </c>
      <c r="R2">
        <v>25</v>
      </c>
      <c r="S2">
        <v>27</v>
      </c>
      <c r="T2">
        <v>29</v>
      </c>
      <c r="U2">
        <v>31</v>
      </c>
      <c r="V2" s="19">
        <v>33</v>
      </c>
      <c r="W2" s="19">
        <v>35</v>
      </c>
      <c r="X2" s="19">
        <v>37</v>
      </c>
      <c r="Y2" s="19">
        <v>39</v>
      </c>
      <c r="Z2" s="19">
        <v>41</v>
      </c>
      <c r="AA2" s="19">
        <v>43</v>
      </c>
      <c r="AB2" s="19">
        <v>45</v>
      </c>
      <c r="AC2" s="19">
        <v>47</v>
      </c>
      <c r="AD2" s="19">
        <v>49</v>
      </c>
      <c r="AE2" s="19">
        <v>51</v>
      </c>
      <c r="AF2" s="19">
        <v>53</v>
      </c>
      <c r="AG2" s="19">
        <v>55</v>
      </c>
      <c r="AH2" s="19">
        <v>57</v>
      </c>
      <c r="AI2" s="19">
        <v>59</v>
      </c>
      <c r="AJ2" s="19">
        <v>61</v>
      </c>
      <c r="AK2" s="19">
        <v>63</v>
      </c>
      <c r="AL2" s="19">
        <v>65</v>
      </c>
      <c r="AM2" s="19">
        <v>67</v>
      </c>
      <c r="AN2" s="19">
        <v>69</v>
      </c>
      <c r="AO2" s="19">
        <v>71</v>
      </c>
      <c r="AP2" s="19">
        <v>73</v>
      </c>
      <c r="AQ2" s="19">
        <v>75</v>
      </c>
      <c r="AR2" s="19">
        <v>77</v>
      </c>
      <c r="AS2" s="19">
        <v>79</v>
      </c>
      <c r="AT2" s="19">
        <v>81</v>
      </c>
      <c r="AU2">
        <v>83</v>
      </c>
      <c r="AV2">
        <v>85</v>
      </c>
      <c r="AW2">
        <v>87</v>
      </c>
      <c r="AX2">
        <v>89</v>
      </c>
      <c r="AY2">
        <v>91</v>
      </c>
      <c r="AZ2">
        <v>93</v>
      </c>
      <c r="BA2">
        <v>95</v>
      </c>
      <c r="BB2">
        <v>97</v>
      </c>
      <c r="BC2">
        <v>99</v>
      </c>
      <c r="BD2">
        <v>101</v>
      </c>
      <c r="BE2">
        <v>103</v>
      </c>
      <c r="BF2">
        <v>105</v>
      </c>
      <c r="BG2">
        <v>107</v>
      </c>
      <c r="BH2">
        <v>109</v>
      </c>
      <c r="BI2">
        <v>111</v>
      </c>
      <c r="BJ2">
        <v>113</v>
      </c>
      <c r="BK2">
        <v>115</v>
      </c>
      <c r="BL2">
        <v>117</v>
      </c>
      <c r="BM2">
        <v>119</v>
      </c>
      <c r="BN2">
        <v>121</v>
      </c>
      <c r="BO2">
        <v>123</v>
      </c>
      <c r="BP2">
        <v>125</v>
      </c>
      <c r="BQ2">
        <v>127</v>
      </c>
      <c r="BR2">
        <v>129</v>
      </c>
      <c r="BS2">
        <v>131</v>
      </c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</row>
    <row r="3" spans="1:133" x14ac:dyDescent="0.25">
      <c r="A3" t="s">
        <v>186</v>
      </c>
      <c r="B3">
        <v>1</v>
      </c>
      <c r="C3">
        <v>1950</v>
      </c>
      <c r="D3">
        <v>1</v>
      </c>
      <c r="E3" t="s">
        <v>335</v>
      </c>
      <c r="F3" s="8">
        <v>1.0002500000000001E-6</v>
      </c>
      <c r="G3" s="8">
        <v>1.0012099999999999E-6</v>
      </c>
      <c r="H3" s="8">
        <v>1.00601E-6</v>
      </c>
      <c r="I3" s="8">
        <v>1.0297399999999999E-6</v>
      </c>
      <c r="J3" s="8">
        <v>1.14726E-6</v>
      </c>
      <c r="K3" s="8">
        <v>1.7291600000000001E-6</v>
      </c>
      <c r="L3" s="8">
        <v>4.6105500000000003E-6</v>
      </c>
      <c r="M3" s="8">
        <v>1.8878000000000001E-5</v>
      </c>
      <c r="N3" s="8">
        <v>8.9519399999999995E-5</v>
      </c>
      <c r="O3">
        <v>4.3916499999999999E-4</v>
      </c>
      <c r="P3">
        <v>2.1668999999999998E-3</v>
      </c>
      <c r="Q3">
        <v>1.06348E-2</v>
      </c>
      <c r="R3">
        <v>5.0532500000000001E-2</v>
      </c>
      <c r="S3">
        <v>0.208569</v>
      </c>
      <c r="T3">
        <v>0.56614699999999996</v>
      </c>
      <c r="U3">
        <v>0.86597999999999997</v>
      </c>
      <c r="V3" s="19">
        <v>0.96969399999999994</v>
      </c>
      <c r="W3" s="19">
        <v>0.99372899999999997</v>
      </c>
      <c r="X3" s="19">
        <v>0.99872799999999995</v>
      </c>
      <c r="Y3" s="19">
        <v>0.99974399999999997</v>
      </c>
      <c r="Z3" s="19">
        <v>0.99994899999999998</v>
      </c>
      <c r="AA3" s="19">
        <v>0.99999099999999996</v>
      </c>
      <c r="AB3" s="19">
        <v>0.99999899999999997</v>
      </c>
      <c r="AC3" s="19">
        <v>1</v>
      </c>
      <c r="AD3" s="19">
        <v>0.99999899999999997</v>
      </c>
      <c r="AE3" s="19">
        <v>0.99999700000000002</v>
      </c>
      <c r="AF3" s="19">
        <v>0.99999199999999999</v>
      </c>
      <c r="AG3" s="19">
        <v>0.99997999999999998</v>
      </c>
      <c r="AH3" s="19">
        <v>0.99995100000000003</v>
      </c>
      <c r="AI3" s="19">
        <v>0.99988600000000005</v>
      </c>
      <c r="AJ3" s="19">
        <v>0.99973299999999998</v>
      </c>
      <c r="AK3" s="19">
        <v>0.99938199999999999</v>
      </c>
      <c r="AL3" s="19">
        <v>0.99856800000000001</v>
      </c>
      <c r="AM3" s="19">
        <v>0.99668900000000005</v>
      </c>
      <c r="AN3" s="19">
        <v>0.99236599999999997</v>
      </c>
      <c r="AO3" s="19">
        <v>0.98250000000000004</v>
      </c>
      <c r="AP3" s="19">
        <v>0.960395</v>
      </c>
      <c r="AQ3" s="19">
        <v>0.91284699999999996</v>
      </c>
      <c r="AR3" s="19">
        <v>0.81897500000000001</v>
      </c>
      <c r="AS3" s="19">
        <v>0.66149199999999997</v>
      </c>
      <c r="AT3" s="19">
        <v>0.45772099999999999</v>
      </c>
      <c r="AU3">
        <v>0.26717800000000003</v>
      </c>
      <c r="AV3">
        <v>0.13605400000000001</v>
      </c>
      <c r="AW3">
        <v>6.3690099999999999E-2</v>
      </c>
      <c r="AX3">
        <v>2.8543499999999999E-2</v>
      </c>
      <c r="AY3">
        <v>1.25328E-2</v>
      </c>
      <c r="AZ3">
        <v>5.4527999999999998E-3</v>
      </c>
      <c r="BA3">
        <v>2.36316E-3</v>
      </c>
      <c r="BB3">
        <v>1.02268E-3</v>
      </c>
      <c r="BC3">
        <v>4.4256100000000001E-4</v>
      </c>
      <c r="BD3">
        <v>1.91776E-4</v>
      </c>
      <c r="BE3" s="8">
        <v>8.3412500000000001E-5</v>
      </c>
      <c r="BF3" s="8">
        <v>3.65989E-5</v>
      </c>
      <c r="BG3" s="8">
        <v>1.6376899999999999E-5</v>
      </c>
      <c r="BH3" s="8">
        <v>7.6419399999999999E-6</v>
      </c>
      <c r="BI3" s="8">
        <v>3.8689299999999999E-6</v>
      </c>
      <c r="BJ3" s="8">
        <v>2.2392099999999999E-6</v>
      </c>
      <c r="BK3" s="8">
        <v>1.5352600000000001E-6</v>
      </c>
      <c r="BL3" s="8">
        <v>1.2312E-6</v>
      </c>
      <c r="BM3" s="8">
        <v>1.0998700000000001E-6</v>
      </c>
      <c r="BN3" s="8">
        <v>1.0431400000000001E-6</v>
      </c>
      <c r="BO3" s="8">
        <v>1.0186300000000001E-6</v>
      </c>
      <c r="BP3" s="8">
        <v>1.00805E-6</v>
      </c>
      <c r="BQ3" s="8">
        <v>1.0034800000000001E-6</v>
      </c>
      <c r="BR3" s="8">
        <v>1.0015000000000001E-6</v>
      </c>
      <c r="BS3" s="8">
        <v>1.0006499999999999E-6</v>
      </c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</row>
    <row r="4" spans="1:133" x14ac:dyDescent="0.25">
      <c r="A4" t="s">
        <v>186</v>
      </c>
      <c r="B4">
        <v>2</v>
      </c>
      <c r="C4">
        <v>1950</v>
      </c>
      <c r="D4">
        <v>1</v>
      </c>
      <c r="E4" t="s">
        <v>336</v>
      </c>
      <c r="F4" s="8">
        <v>1.0000200000000001E-6</v>
      </c>
      <c r="G4" s="8">
        <v>1.00083E-6</v>
      </c>
      <c r="H4" s="8">
        <v>1.0429499999999999E-6</v>
      </c>
      <c r="I4" s="8">
        <v>3.2279E-6</v>
      </c>
      <c r="J4">
        <v>1.16552E-4</v>
      </c>
      <c r="K4">
        <v>5.9598899999999998E-3</v>
      </c>
      <c r="L4">
        <v>0.23719699999999999</v>
      </c>
      <c r="M4">
        <v>0.94162199999999996</v>
      </c>
      <c r="N4">
        <v>0.99880599999999997</v>
      </c>
      <c r="O4">
        <v>0.999977</v>
      </c>
      <c r="P4">
        <v>1</v>
      </c>
      <c r="Q4">
        <v>1</v>
      </c>
      <c r="R4">
        <v>1</v>
      </c>
      <c r="S4">
        <v>1</v>
      </c>
      <c r="T4">
        <v>0.99999899999999997</v>
      </c>
      <c r="U4">
        <v>0.99999899999999997</v>
      </c>
      <c r="V4" s="19">
        <v>0.99999800000000005</v>
      </c>
      <c r="W4" s="19">
        <v>0.999996</v>
      </c>
      <c r="X4" s="19">
        <v>0.99999300000000002</v>
      </c>
      <c r="Y4" s="19">
        <v>0.99998900000000002</v>
      </c>
      <c r="Z4" s="19">
        <v>0.99998100000000001</v>
      </c>
      <c r="AA4" s="19">
        <v>0.99996799999999997</v>
      </c>
      <c r="AB4" s="19">
        <v>0.99994700000000003</v>
      </c>
      <c r="AC4" s="19">
        <v>0.99991200000000002</v>
      </c>
      <c r="AD4" s="19">
        <v>0.99985400000000002</v>
      </c>
      <c r="AE4" s="19">
        <v>0.99975700000000001</v>
      </c>
      <c r="AF4" s="19">
        <v>0.99959600000000004</v>
      </c>
      <c r="AG4" s="19">
        <v>0.99933000000000005</v>
      </c>
      <c r="AH4" s="19">
        <v>0.998888</v>
      </c>
      <c r="AI4" s="19">
        <v>0.99815600000000004</v>
      </c>
      <c r="AJ4" s="19">
        <v>0.99694199999999999</v>
      </c>
      <c r="AK4" s="19">
        <v>0.99493399999999999</v>
      </c>
      <c r="AL4" s="19">
        <v>0.99161900000000003</v>
      </c>
      <c r="AM4" s="19">
        <v>0.98616499999999996</v>
      </c>
      <c r="AN4" s="19">
        <v>0.97724299999999997</v>
      </c>
      <c r="AO4" s="19">
        <v>0.962785</v>
      </c>
      <c r="AP4" s="19">
        <v>0.93970699999999996</v>
      </c>
      <c r="AQ4" s="19">
        <v>0.90375000000000005</v>
      </c>
      <c r="AR4" s="19">
        <v>0.849777</v>
      </c>
      <c r="AS4" s="19">
        <v>0.77313600000000005</v>
      </c>
      <c r="AT4" s="19">
        <v>0.67246600000000001</v>
      </c>
      <c r="AU4">
        <v>0.55295300000000003</v>
      </c>
      <c r="AV4">
        <v>0.42699100000000001</v>
      </c>
      <c r="AW4">
        <v>0.309836</v>
      </c>
      <c r="AX4">
        <v>0.21288299999999999</v>
      </c>
      <c r="AY4">
        <v>0.14011000000000001</v>
      </c>
      <c r="AZ4">
        <v>8.9388499999999996E-2</v>
      </c>
      <c r="BA4">
        <v>5.5836799999999999E-2</v>
      </c>
      <c r="BB4">
        <v>3.4403000000000003E-2</v>
      </c>
      <c r="BC4">
        <v>2.1013899999999999E-2</v>
      </c>
      <c r="BD4">
        <v>1.2766899999999999E-2</v>
      </c>
      <c r="BE4">
        <v>7.7310499999999997E-3</v>
      </c>
      <c r="BF4">
        <v>4.6723299999999997E-3</v>
      </c>
      <c r="BG4">
        <v>2.8204900000000001E-3</v>
      </c>
      <c r="BH4">
        <v>1.70151E-3</v>
      </c>
      <c r="BI4">
        <v>1.0261700000000001E-3</v>
      </c>
      <c r="BJ4">
        <v>6.18864E-4</v>
      </c>
      <c r="BK4">
        <v>3.7332499999999998E-4</v>
      </c>
      <c r="BL4">
        <v>2.25341E-4</v>
      </c>
      <c r="BM4">
        <v>1.3616600000000001E-4</v>
      </c>
      <c r="BN4" s="8">
        <v>8.24355E-5</v>
      </c>
      <c r="BO4" s="8">
        <v>5.0062499999999997E-5</v>
      </c>
      <c r="BP4" s="8">
        <v>3.0558300000000002E-5</v>
      </c>
      <c r="BQ4" s="8">
        <v>1.88077E-5</v>
      </c>
      <c r="BR4" s="8">
        <v>1.1728299999999999E-5</v>
      </c>
      <c r="BS4" s="8">
        <v>7.4633199999999999E-6</v>
      </c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</row>
    <row r="5" spans="1:133" x14ac:dyDescent="0.25">
      <c r="A5" t="s">
        <v>186</v>
      </c>
      <c r="B5">
        <v>2</v>
      </c>
      <c r="C5">
        <v>1989</v>
      </c>
      <c r="D5">
        <v>1</v>
      </c>
      <c r="E5" t="s">
        <v>337</v>
      </c>
      <c r="F5" s="8">
        <v>1.0075399999999999E-6</v>
      </c>
      <c r="G5" s="8">
        <v>1.0075399999999999E-6</v>
      </c>
      <c r="H5" s="8">
        <v>1.0075399999999999E-6</v>
      </c>
      <c r="I5" s="8">
        <v>1.0075399999999999E-6</v>
      </c>
      <c r="J5" s="8">
        <v>1.0075600000000001E-6</v>
      </c>
      <c r="K5" s="8">
        <v>1.0076300000000001E-6</v>
      </c>
      <c r="L5" s="8">
        <v>1.00788E-6</v>
      </c>
      <c r="M5" s="8">
        <v>1.0087899999999999E-6</v>
      </c>
      <c r="N5" s="8">
        <v>1.01206E-6</v>
      </c>
      <c r="O5" s="8">
        <v>1.0239000000000001E-6</v>
      </c>
      <c r="P5" s="8">
        <v>1.0666699999999999E-6</v>
      </c>
      <c r="Q5" s="8">
        <v>1.2212700000000001E-6</v>
      </c>
      <c r="R5" s="8">
        <v>1.7800399999999999E-6</v>
      </c>
      <c r="S5" s="8">
        <v>3.7995600000000002E-6</v>
      </c>
      <c r="T5" s="8">
        <v>1.1098600000000001E-5</v>
      </c>
      <c r="U5" s="8">
        <v>3.7478300000000003E-5</v>
      </c>
      <c r="V5" s="19">
        <v>1.3281E-4</v>
      </c>
      <c r="W5" s="19">
        <v>4.7721500000000002E-4</v>
      </c>
      <c r="X5" s="19">
        <v>1.7200200000000001E-3</v>
      </c>
      <c r="Y5" s="19">
        <v>6.1863899999999999E-3</v>
      </c>
      <c r="Z5" s="19">
        <v>2.2003499999999999E-2</v>
      </c>
      <c r="AA5" s="19">
        <v>7.5228600000000007E-2</v>
      </c>
      <c r="AB5" s="19">
        <v>0.22748599999999999</v>
      </c>
      <c r="AC5" s="19">
        <v>0.51699499999999998</v>
      </c>
      <c r="AD5" s="19">
        <v>0.79793400000000003</v>
      </c>
      <c r="AE5" s="19">
        <v>0.93896299999999999</v>
      </c>
      <c r="AF5" s="19">
        <v>0.98675400000000002</v>
      </c>
      <c r="AG5" s="19">
        <v>0.99958400000000003</v>
      </c>
      <c r="AH5" s="19">
        <v>1</v>
      </c>
      <c r="AI5" s="19">
        <v>0.99217699999999998</v>
      </c>
      <c r="AJ5" s="19">
        <v>0.97071499999999999</v>
      </c>
      <c r="AK5" s="19">
        <v>0.92009700000000005</v>
      </c>
      <c r="AL5" s="19">
        <v>0.813392</v>
      </c>
      <c r="AM5" s="19">
        <v>0.62984799999999996</v>
      </c>
      <c r="AN5" s="19">
        <v>0.40196100000000001</v>
      </c>
      <c r="AO5" s="19">
        <v>0.210559</v>
      </c>
      <c r="AP5" s="19">
        <v>9.5868800000000004E-2</v>
      </c>
      <c r="AQ5" s="19">
        <v>4.0477199999999998E-2</v>
      </c>
      <c r="AR5" s="19">
        <v>1.6510799999999999E-2</v>
      </c>
      <c r="AS5" s="19">
        <v>6.6378000000000001E-3</v>
      </c>
      <c r="AT5" s="19">
        <v>2.65314E-3</v>
      </c>
      <c r="AU5">
        <v>1.0583000000000001E-3</v>
      </c>
      <c r="AV5">
        <v>4.2210199999999999E-4</v>
      </c>
      <c r="AW5">
        <v>1.6865599999999999E-4</v>
      </c>
      <c r="AX5" s="8">
        <v>6.7742499999999997E-5</v>
      </c>
      <c r="AY5" s="8">
        <v>2.75708E-5</v>
      </c>
      <c r="AZ5" s="8">
        <v>1.1580600000000001E-5</v>
      </c>
      <c r="BA5" s="8">
        <v>5.2158899999999996E-6</v>
      </c>
      <c r="BB5" s="8">
        <v>2.68257E-6</v>
      </c>
      <c r="BC5" s="8">
        <v>1.67424E-6</v>
      </c>
      <c r="BD5" s="8">
        <v>1.2728999999999999E-6</v>
      </c>
      <c r="BE5" s="8">
        <v>1.1131599999999999E-6</v>
      </c>
      <c r="BF5" s="8">
        <v>1.04958E-6</v>
      </c>
      <c r="BG5" s="8">
        <v>1.0242700000000001E-6</v>
      </c>
      <c r="BH5" s="8">
        <v>1.0142E-6</v>
      </c>
      <c r="BI5" s="8">
        <v>1.01019E-6</v>
      </c>
      <c r="BJ5" s="8">
        <v>1.0085899999999999E-6</v>
      </c>
      <c r="BK5" s="8">
        <v>1.0079600000000001E-6</v>
      </c>
      <c r="BL5" s="8">
        <v>1.0076999999999999E-6</v>
      </c>
      <c r="BM5" s="8">
        <v>1.0076000000000001E-6</v>
      </c>
      <c r="BN5" s="8">
        <v>1.0075600000000001E-6</v>
      </c>
      <c r="BO5" s="8">
        <v>1.00755E-6</v>
      </c>
      <c r="BP5" s="8">
        <v>1.0075399999999999E-6</v>
      </c>
      <c r="BQ5" s="8">
        <v>1.0075399999999999E-6</v>
      </c>
      <c r="BR5" s="8">
        <v>1.0075399999999999E-6</v>
      </c>
      <c r="BS5" s="8">
        <v>1.0075399999999999E-6</v>
      </c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</row>
    <row r="6" spans="1:133" x14ac:dyDescent="0.25">
      <c r="A6" t="s">
        <v>186</v>
      </c>
      <c r="B6">
        <v>3</v>
      </c>
      <c r="C6">
        <v>1950</v>
      </c>
      <c r="D6">
        <v>1</v>
      </c>
      <c r="E6" t="s">
        <v>338</v>
      </c>
      <c r="F6" s="8">
        <v>4.25757E-5</v>
      </c>
      <c r="G6" s="8">
        <v>8.9755399999999998E-5</v>
      </c>
      <c r="H6">
        <v>1.90619E-4</v>
      </c>
      <c r="I6">
        <v>4.0616900000000001E-4</v>
      </c>
      <c r="J6">
        <v>8.6660999999999997E-4</v>
      </c>
      <c r="K6">
        <v>1.84936E-3</v>
      </c>
      <c r="L6">
        <v>3.9434099999999996E-3</v>
      </c>
      <c r="M6">
        <v>8.3902600000000001E-3</v>
      </c>
      <c r="N6">
        <v>1.7767000000000002E-2</v>
      </c>
      <c r="O6">
        <v>3.7251800000000002E-2</v>
      </c>
      <c r="P6">
        <v>7.6547000000000004E-2</v>
      </c>
      <c r="Q6">
        <v>0.151228</v>
      </c>
      <c r="R6">
        <v>0.27837499999999998</v>
      </c>
      <c r="S6">
        <v>0.458901</v>
      </c>
      <c r="T6">
        <v>0.65812800000000005</v>
      </c>
      <c r="U6">
        <v>0.82378700000000005</v>
      </c>
      <c r="V6" s="19">
        <v>0.92960900000000002</v>
      </c>
      <c r="W6" s="19">
        <v>0.98247499999999999</v>
      </c>
      <c r="X6" s="19">
        <v>1</v>
      </c>
      <c r="Y6" s="19">
        <v>0.99594899999999997</v>
      </c>
      <c r="Z6" s="19">
        <v>0.97798799999999997</v>
      </c>
      <c r="AA6" s="19">
        <v>0.94958799999999999</v>
      </c>
      <c r="AB6" s="19">
        <v>0.91200300000000001</v>
      </c>
      <c r="AC6" s="19">
        <v>0.865568</v>
      </c>
      <c r="AD6" s="19">
        <v>0.81049300000000002</v>
      </c>
      <c r="AE6" s="19">
        <v>0.74737600000000004</v>
      </c>
      <c r="AF6" s="19">
        <v>0.67748799999999998</v>
      </c>
      <c r="AG6" s="19">
        <v>0.60286499999999998</v>
      </c>
      <c r="AH6" s="19">
        <v>0.52617000000000003</v>
      </c>
      <c r="AI6" s="19">
        <v>0.45035799999999998</v>
      </c>
      <c r="AJ6" s="19">
        <v>0.378247</v>
      </c>
      <c r="AK6" s="19">
        <v>0.31212099999999998</v>
      </c>
      <c r="AL6" s="19">
        <v>0.25348700000000002</v>
      </c>
      <c r="AM6" s="19">
        <v>0.20302300000000001</v>
      </c>
      <c r="AN6" s="19">
        <v>0.160695</v>
      </c>
      <c r="AO6" s="19">
        <v>0.12595100000000001</v>
      </c>
      <c r="AP6" s="19">
        <v>9.7934099999999996E-2</v>
      </c>
      <c r="AQ6" s="19">
        <v>7.5664700000000001E-2</v>
      </c>
      <c r="AR6" s="19">
        <v>5.8164800000000003E-2</v>
      </c>
      <c r="AS6" s="19">
        <v>4.4536199999999998E-2</v>
      </c>
      <c r="AT6" s="19">
        <v>3.3996600000000002E-2</v>
      </c>
      <c r="AU6">
        <v>2.589E-2</v>
      </c>
      <c r="AV6">
        <v>1.9680799999999998E-2</v>
      </c>
      <c r="AW6">
        <v>1.49401E-2</v>
      </c>
      <c r="AX6">
        <v>1.13293E-2</v>
      </c>
      <c r="AY6">
        <v>8.5844200000000006E-3</v>
      </c>
      <c r="AZ6">
        <v>6.5006400000000002E-3</v>
      </c>
      <c r="BA6">
        <v>4.9204499999999998E-3</v>
      </c>
      <c r="BB6">
        <v>3.7231400000000002E-3</v>
      </c>
      <c r="BC6">
        <v>2.8164800000000001E-3</v>
      </c>
      <c r="BD6">
        <v>2.1302500000000002E-3</v>
      </c>
      <c r="BE6">
        <v>1.61104E-3</v>
      </c>
      <c r="BF6">
        <v>1.2183000000000001E-3</v>
      </c>
      <c r="BG6">
        <v>9.2129099999999997E-4</v>
      </c>
      <c r="BH6">
        <v>6.9670699999999997E-4</v>
      </c>
      <c r="BI6">
        <v>5.2691000000000001E-4</v>
      </c>
      <c r="BJ6">
        <v>3.9854400000000002E-4</v>
      </c>
      <c r="BK6">
        <v>3.0150799999999997E-4</v>
      </c>
      <c r="BL6">
        <v>2.2815800000000001E-4</v>
      </c>
      <c r="BM6">
        <v>1.7271499999999999E-4</v>
      </c>
      <c r="BN6">
        <v>1.3080899999999999E-4</v>
      </c>
      <c r="BO6" s="8">
        <v>9.9134200000000004E-5</v>
      </c>
      <c r="BP6" s="8">
        <v>7.5193900000000005E-5</v>
      </c>
      <c r="BQ6" s="8">
        <v>5.7099499999999998E-5</v>
      </c>
      <c r="BR6" s="8">
        <v>4.3423600000000002E-5</v>
      </c>
      <c r="BS6" s="8">
        <v>3.3087399999999998E-5</v>
      </c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</row>
    <row r="7" spans="1:133" x14ac:dyDescent="0.25">
      <c r="A7" t="s">
        <v>186</v>
      </c>
      <c r="B7">
        <v>3</v>
      </c>
      <c r="C7">
        <v>1989</v>
      </c>
      <c r="D7">
        <v>1</v>
      </c>
      <c r="E7" t="s">
        <v>339</v>
      </c>
      <c r="F7">
        <v>5.5260600000000002E-3</v>
      </c>
      <c r="G7">
        <v>7.6703199999999996E-3</v>
      </c>
      <c r="H7">
        <v>1.0639600000000001E-2</v>
      </c>
      <c r="I7">
        <v>1.4743600000000001E-2</v>
      </c>
      <c r="J7">
        <v>2.0403000000000001E-2</v>
      </c>
      <c r="K7">
        <v>2.8183400000000001E-2</v>
      </c>
      <c r="L7">
        <v>3.8835599999999998E-2</v>
      </c>
      <c r="M7">
        <v>5.3337799999999998E-2</v>
      </c>
      <c r="N7">
        <v>7.2933399999999995E-2</v>
      </c>
      <c r="O7">
        <v>9.9144499999999997E-2</v>
      </c>
      <c r="P7">
        <v>0.13373399999999999</v>
      </c>
      <c r="Q7">
        <v>0.17857600000000001</v>
      </c>
      <c r="R7">
        <v>0.235372</v>
      </c>
      <c r="S7">
        <v>0.30520599999999998</v>
      </c>
      <c r="T7">
        <v>0.387934</v>
      </c>
      <c r="U7">
        <v>0.48159099999999999</v>
      </c>
      <c r="V7" s="19">
        <v>0.58206999999999998</v>
      </c>
      <c r="W7" s="19">
        <v>0.68338100000000002</v>
      </c>
      <c r="X7" s="19">
        <v>0.77859299999999998</v>
      </c>
      <c r="Y7" s="19">
        <v>0.86117699999999997</v>
      </c>
      <c r="Z7" s="19">
        <v>0.92622199999999999</v>
      </c>
      <c r="AA7" s="19">
        <v>0.97107299999999996</v>
      </c>
      <c r="AB7" s="19">
        <v>0.99526499999999996</v>
      </c>
      <c r="AC7" s="19">
        <v>1</v>
      </c>
      <c r="AD7" s="19">
        <v>0.98748199999999997</v>
      </c>
      <c r="AE7" s="19">
        <v>0.96035899999999996</v>
      </c>
      <c r="AF7" s="19">
        <v>0.92135800000000001</v>
      </c>
      <c r="AG7" s="19">
        <v>0.87309000000000003</v>
      </c>
      <c r="AH7" s="19">
        <v>0.81797500000000001</v>
      </c>
      <c r="AI7" s="19">
        <v>0.758216</v>
      </c>
      <c r="AJ7" s="19">
        <v>0.69580200000000003</v>
      </c>
      <c r="AK7" s="19">
        <v>0.63249599999999995</v>
      </c>
      <c r="AL7" s="19">
        <v>0.56982600000000005</v>
      </c>
      <c r="AM7" s="19">
        <v>0.50907000000000002</v>
      </c>
      <c r="AN7" s="19">
        <v>0.45124500000000001</v>
      </c>
      <c r="AO7" s="19">
        <v>0.39710800000000002</v>
      </c>
      <c r="AP7" s="19">
        <v>0.347163</v>
      </c>
      <c r="AQ7" s="19">
        <v>0.30168800000000001</v>
      </c>
      <c r="AR7" s="19">
        <v>0.260764</v>
      </c>
      <c r="AS7" s="19">
        <v>0.22431799999999999</v>
      </c>
      <c r="AT7" s="19">
        <v>0.19215299999999999</v>
      </c>
      <c r="AU7">
        <v>0.163994</v>
      </c>
      <c r="AV7">
        <v>0.139513</v>
      </c>
      <c r="AW7">
        <v>0.118358</v>
      </c>
      <c r="AX7">
        <v>0.100171</v>
      </c>
      <c r="AY7">
        <v>8.4605399999999997E-2</v>
      </c>
      <c r="AZ7">
        <v>7.1333999999999995E-2</v>
      </c>
      <c r="BA7">
        <v>6.0055200000000003E-2</v>
      </c>
      <c r="BB7">
        <v>5.0496199999999998E-2</v>
      </c>
      <c r="BC7">
        <v>4.2413600000000003E-2</v>
      </c>
      <c r="BD7">
        <v>3.5592699999999998E-2</v>
      </c>
      <c r="BE7">
        <v>2.98461E-2</v>
      </c>
      <c r="BF7">
        <v>2.5011499999999999E-2</v>
      </c>
      <c r="BG7">
        <v>2.09488E-2</v>
      </c>
      <c r="BH7">
        <v>1.75382E-2</v>
      </c>
      <c r="BI7">
        <v>1.4677300000000001E-2</v>
      </c>
      <c r="BJ7">
        <v>1.22793E-2</v>
      </c>
      <c r="BK7">
        <v>1.0270400000000001E-2</v>
      </c>
      <c r="BL7">
        <v>8.5882300000000005E-3</v>
      </c>
      <c r="BM7">
        <v>7.1803199999999996E-3</v>
      </c>
      <c r="BN7">
        <v>6.0023200000000002E-3</v>
      </c>
      <c r="BO7">
        <v>5.0169699999999999E-3</v>
      </c>
      <c r="BP7">
        <v>4.1929599999999999E-3</v>
      </c>
      <c r="BQ7">
        <v>3.5040200000000001E-3</v>
      </c>
      <c r="BR7">
        <v>2.9280899999999999E-3</v>
      </c>
      <c r="BS7">
        <v>2.4467E-3</v>
      </c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BY7"/>
  <sheetViews>
    <sheetView workbookViewId="0"/>
  </sheetViews>
  <sheetFormatPr defaultRowHeight="15" x14ac:dyDescent="0.25"/>
  <sheetData>
    <row r="1" spans="1:77" s="19" customFormat="1" x14ac:dyDescent="0.25">
      <c r="A1" t="s">
        <v>192</v>
      </c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V1"/>
      <c r="W1"/>
      <c r="X1"/>
      <c r="Y1"/>
      <c r="AC1"/>
      <c r="AD1"/>
      <c r="AE1"/>
      <c r="AG1"/>
      <c r="AH1"/>
      <c r="AI1"/>
      <c r="AJ1"/>
      <c r="AK1"/>
      <c r="AL1"/>
      <c r="AR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</row>
    <row r="2" spans="1:77" s="19" customFormat="1" x14ac:dyDescent="0.25">
      <c r="A2" t="s">
        <v>266</v>
      </c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V2"/>
      <c r="W2"/>
      <c r="X2"/>
      <c r="Y2"/>
      <c r="AC2"/>
      <c r="AD2"/>
      <c r="AE2"/>
      <c r="AG2"/>
      <c r="AH2"/>
      <c r="AI2"/>
      <c r="AJ2"/>
      <c r="AK2"/>
      <c r="AL2"/>
      <c r="AR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</row>
    <row r="3" spans="1:77" s="19" customFormat="1" x14ac:dyDescent="0.25">
      <c r="A3" t="s">
        <v>261</v>
      </c>
      <c r="B3">
        <v>1960</v>
      </c>
      <c r="C3" t="s">
        <v>262</v>
      </c>
      <c r="D3">
        <v>2011</v>
      </c>
      <c r="E3" t="s">
        <v>248</v>
      </c>
      <c r="F3" t="s">
        <v>355</v>
      </c>
      <c r="G3" t="s">
        <v>353</v>
      </c>
      <c r="H3"/>
      <c r="I3"/>
      <c r="J3"/>
      <c r="K3"/>
      <c r="L3"/>
      <c r="M3"/>
      <c r="N3"/>
      <c r="O3"/>
      <c r="P3"/>
      <c r="Q3"/>
      <c r="R3"/>
      <c r="V3"/>
      <c r="W3"/>
      <c r="X3"/>
      <c r="Y3"/>
      <c r="AC3"/>
      <c r="AD3"/>
      <c r="AE3"/>
      <c r="AG3"/>
      <c r="AH3"/>
      <c r="AI3"/>
      <c r="AJ3"/>
      <c r="AK3"/>
      <c r="AL3"/>
      <c r="AR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</row>
    <row r="4" spans="1:77" s="19" customFormat="1" x14ac:dyDescent="0.25">
      <c r="A4" t="s">
        <v>193</v>
      </c>
      <c r="B4" t="s">
        <v>29</v>
      </c>
      <c r="C4" t="s">
        <v>183</v>
      </c>
      <c r="D4" t="s">
        <v>194</v>
      </c>
      <c r="E4" t="s">
        <v>184</v>
      </c>
      <c r="F4" t="s">
        <v>195</v>
      </c>
      <c r="G4" t="s">
        <v>185</v>
      </c>
      <c r="H4">
        <v>0</v>
      </c>
      <c r="I4">
        <v>1</v>
      </c>
      <c r="J4">
        <v>2</v>
      </c>
      <c r="K4">
        <v>3</v>
      </c>
      <c r="L4">
        <v>4</v>
      </c>
      <c r="M4">
        <v>5</v>
      </c>
      <c r="N4">
        <v>6</v>
      </c>
      <c r="O4">
        <v>7</v>
      </c>
      <c r="P4">
        <v>8</v>
      </c>
      <c r="Q4">
        <v>9</v>
      </c>
      <c r="R4">
        <v>10</v>
      </c>
      <c r="S4" s="19">
        <v>11</v>
      </c>
      <c r="T4" s="19">
        <v>12</v>
      </c>
      <c r="U4" s="19">
        <v>13</v>
      </c>
      <c r="V4">
        <v>14</v>
      </c>
      <c r="W4">
        <v>15</v>
      </c>
      <c r="X4">
        <v>16</v>
      </c>
      <c r="Y4">
        <v>17</v>
      </c>
      <c r="AC4"/>
      <c r="AD4"/>
      <c r="AE4"/>
      <c r="AG4"/>
      <c r="AH4"/>
      <c r="AI4"/>
      <c r="AJ4"/>
      <c r="AK4"/>
      <c r="AL4"/>
      <c r="AR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</row>
    <row r="5" spans="1:77" s="19" customFormat="1" x14ac:dyDescent="0.25">
      <c r="A5" t="s">
        <v>196</v>
      </c>
      <c r="B5">
        <v>1</v>
      </c>
      <c r="C5">
        <v>1960</v>
      </c>
      <c r="D5">
        <v>1</v>
      </c>
      <c r="E5">
        <v>1</v>
      </c>
      <c r="F5">
        <v>1</v>
      </c>
      <c r="G5" t="s">
        <v>356</v>
      </c>
      <c r="H5">
        <v>0</v>
      </c>
      <c r="I5">
        <v>1</v>
      </c>
      <c r="J5">
        <v>1</v>
      </c>
      <c r="K5">
        <v>1</v>
      </c>
      <c r="L5">
        <v>1</v>
      </c>
      <c r="M5">
        <v>1</v>
      </c>
      <c r="N5">
        <v>1</v>
      </c>
      <c r="O5">
        <v>1</v>
      </c>
      <c r="P5">
        <v>1</v>
      </c>
      <c r="Q5">
        <v>1</v>
      </c>
      <c r="R5">
        <v>1</v>
      </c>
      <c r="S5" s="19">
        <v>1</v>
      </c>
      <c r="T5" s="19">
        <v>1</v>
      </c>
      <c r="U5" s="19">
        <v>1</v>
      </c>
      <c r="V5">
        <v>1</v>
      </c>
      <c r="W5">
        <v>1</v>
      </c>
      <c r="X5">
        <v>1</v>
      </c>
      <c r="Y5">
        <v>1</v>
      </c>
      <c r="AC5"/>
      <c r="AD5"/>
      <c r="AE5"/>
      <c r="AG5"/>
      <c r="AH5"/>
      <c r="AI5"/>
      <c r="AJ5"/>
      <c r="AK5"/>
      <c r="AL5"/>
      <c r="AR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</row>
    <row r="6" spans="1:77" s="19" customFormat="1" x14ac:dyDescent="0.25">
      <c r="A6" t="s">
        <v>196</v>
      </c>
      <c r="B6">
        <v>1</v>
      </c>
      <c r="C6">
        <v>1963</v>
      </c>
      <c r="D6">
        <v>1</v>
      </c>
      <c r="E6">
        <v>1</v>
      </c>
      <c r="F6">
        <v>1</v>
      </c>
      <c r="G6" t="s">
        <v>357</v>
      </c>
      <c r="H6">
        <v>0</v>
      </c>
      <c r="I6">
        <v>1</v>
      </c>
      <c r="J6">
        <v>1</v>
      </c>
      <c r="K6">
        <v>1</v>
      </c>
      <c r="L6">
        <v>1</v>
      </c>
      <c r="M6">
        <v>1</v>
      </c>
      <c r="N6">
        <v>1</v>
      </c>
      <c r="O6">
        <v>1</v>
      </c>
      <c r="P6">
        <v>1</v>
      </c>
      <c r="Q6">
        <v>1</v>
      </c>
      <c r="R6">
        <v>1</v>
      </c>
      <c r="S6" s="19">
        <v>1</v>
      </c>
      <c r="T6" s="19">
        <v>1</v>
      </c>
      <c r="U6" s="19">
        <v>1</v>
      </c>
      <c r="V6">
        <v>1</v>
      </c>
      <c r="W6">
        <v>1</v>
      </c>
      <c r="X6">
        <v>1</v>
      </c>
      <c r="Y6">
        <v>1</v>
      </c>
      <c r="AC6"/>
      <c r="AD6"/>
      <c r="AE6"/>
      <c r="AG6"/>
      <c r="AH6"/>
      <c r="AI6"/>
      <c r="AJ6"/>
      <c r="AK6"/>
      <c r="AL6"/>
      <c r="AR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</row>
    <row r="7" spans="1:77" s="19" customFormat="1" x14ac:dyDescent="0.25">
      <c r="A7" t="s">
        <v>196</v>
      </c>
      <c r="B7">
        <v>1</v>
      </c>
      <c r="C7">
        <v>2011</v>
      </c>
      <c r="D7">
        <v>1</v>
      </c>
      <c r="E7">
        <v>1</v>
      </c>
      <c r="F7">
        <v>1</v>
      </c>
      <c r="G7" t="s">
        <v>358</v>
      </c>
      <c r="H7">
        <v>0</v>
      </c>
      <c r="I7">
        <v>1</v>
      </c>
      <c r="J7">
        <v>1</v>
      </c>
      <c r="K7">
        <v>1</v>
      </c>
      <c r="L7">
        <v>1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 s="19">
        <v>1</v>
      </c>
      <c r="T7" s="19">
        <v>1</v>
      </c>
      <c r="U7" s="19">
        <v>1</v>
      </c>
      <c r="V7">
        <v>1</v>
      </c>
      <c r="W7">
        <v>1</v>
      </c>
      <c r="X7">
        <v>1</v>
      </c>
      <c r="Y7">
        <v>1</v>
      </c>
      <c r="AC7"/>
      <c r="AD7"/>
      <c r="AE7"/>
      <c r="AG7"/>
      <c r="AH7"/>
      <c r="AI7"/>
      <c r="AJ7"/>
      <c r="AK7"/>
      <c r="AL7"/>
      <c r="AR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</row>
  </sheetData>
  <hyperlinks>
    <hyperlink ref="J1" location="Main_List" display="Return to Main"/>
    <hyperlink ref="J2" location="Main_List" display="Return to Main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View_AgeSelex_Data">
                <anchor moveWithCells="1" sizeWithCells="1">
                  <from>
                    <xdr:col>5</xdr:col>
                    <xdr:colOff>47625</xdr:colOff>
                    <xdr:row>0</xdr:row>
                    <xdr:rowOff>9525</xdr:rowOff>
                  </from>
                  <to>
                    <xdr:col>8</xdr:col>
                    <xdr:colOff>28575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L7"/>
  <sheetViews>
    <sheetView workbookViewId="0"/>
  </sheetViews>
  <sheetFormatPr defaultRowHeight="15" x14ac:dyDescent="0.25"/>
  <sheetData>
    <row r="1" spans="1:38" ht="177" customHeight="1" x14ac:dyDescent="0.25">
      <c r="K1" s="18"/>
    </row>
    <row r="2" spans="1:38" x14ac:dyDescent="0.25">
      <c r="A2" t="s">
        <v>193</v>
      </c>
      <c r="B2" t="s">
        <v>29</v>
      </c>
      <c r="C2" t="s">
        <v>183</v>
      </c>
      <c r="D2" t="s">
        <v>194</v>
      </c>
      <c r="E2" t="s">
        <v>184</v>
      </c>
      <c r="F2" t="s">
        <v>195</v>
      </c>
      <c r="G2" t="s">
        <v>185</v>
      </c>
      <c r="H2">
        <v>0</v>
      </c>
      <c r="I2">
        <v>1</v>
      </c>
      <c r="J2">
        <v>2</v>
      </c>
      <c r="K2">
        <v>3</v>
      </c>
      <c r="L2">
        <v>4</v>
      </c>
      <c r="M2">
        <v>5</v>
      </c>
      <c r="N2">
        <v>6</v>
      </c>
      <c r="O2">
        <v>7</v>
      </c>
      <c r="P2">
        <v>8</v>
      </c>
      <c r="Q2">
        <v>9</v>
      </c>
      <c r="R2">
        <v>10</v>
      </c>
      <c r="S2">
        <v>11</v>
      </c>
      <c r="T2">
        <v>12</v>
      </c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</row>
    <row r="3" spans="1:38" x14ac:dyDescent="0.25">
      <c r="A3" t="s">
        <v>196</v>
      </c>
      <c r="B3">
        <v>1</v>
      </c>
      <c r="C3">
        <v>1957</v>
      </c>
      <c r="D3">
        <v>1</v>
      </c>
      <c r="E3">
        <v>1</v>
      </c>
      <c r="F3">
        <v>1</v>
      </c>
      <c r="G3" t="s">
        <v>284</v>
      </c>
      <c r="H3">
        <v>0</v>
      </c>
      <c r="I3">
        <v>0.18268400000000001</v>
      </c>
      <c r="J3">
        <v>0.272532</v>
      </c>
      <c r="K3">
        <v>0.496585</v>
      </c>
      <c r="L3">
        <v>0.74081799999999998</v>
      </c>
      <c r="M3">
        <v>0.904837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38" x14ac:dyDescent="0.25">
      <c r="A4" t="s">
        <v>196</v>
      </c>
      <c r="B4">
        <v>1</v>
      </c>
      <c r="C4">
        <v>2008</v>
      </c>
      <c r="D4">
        <v>1</v>
      </c>
      <c r="E4">
        <v>1</v>
      </c>
      <c r="F4">
        <v>1</v>
      </c>
      <c r="G4" t="s">
        <v>279</v>
      </c>
      <c r="H4">
        <v>0</v>
      </c>
      <c r="I4">
        <v>0.18268400000000001</v>
      </c>
      <c r="J4">
        <v>0.272532</v>
      </c>
      <c r="K4">
        <v>0.496585</v>
      </c>
      <c r="L4">
        <v>0.74081799999999998</v>
      </c>
      <c r="M4">
        <v>0.904837</v>
      </c>
      <c r="N4">
        <v>1</v>
      </c>
      <c r="O4">
        <v>1</v>
      </c>
      <c r="P4">
        <v>1</v>
      </c>
      <c r="Q4">
        <v>1</v>
      </c>
      <c r="R4">
        <v>1</v>
      </c>
      <c r="S4">
        <v>1</v>
      </c>
      <c r="T4">
        <v>1</v>
      </c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</row>
    <row r="5" spans="1:38" x14ac:dyDescent="0.25">
      <c r="A5" t="s">
        <v>196</v>
      </c>
      <c r="B5">
        <v>1</v>
      </c>
      <c r="C5">
        <v>2009</v>
      </c>
      <c r="D5">
        <v>1</v>
      </c>
      <c r="E5">
        <v>1</v>
      </c>
      <c r="F5">
        <v>1</v>
      </c>
      <c r="G5" t="s">
        <v>280</v>
      </c>
      <c r="H5">
        <v>0</v>
      </c>
      <c r="I5">
        <v>0.18268400000000001</v>
      </c>
      <c r="J5">
        <v>0.272532</v>
      </c>
      <c r="K5">
        <v>0.496585</v>
      </c>
      <c r="L5">
        <v>0.74081799999999998</v>
      </c>
      <c r="M5">
        <v>0.904837</v>
      </c>
      <c r="N5">
        <v>1</v>
      </c>
      <c r="O5">
        <v>1</v>
      </c>
      <c r="P5">
        <v>1</v>
      </c>
      <c r="Q5">
        <v>1</v>
      </c>
      <c r="R5">
        <v>1</v>
      </c>
      <c r="S5">
        <v>1</v>
      </c>
      <c r="T5">
        <v>1</v>
      </c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</row>
    <row r="6" spans="1:38" x14ac:dyDescent="0.25">
      <c r="A6" t="s">
        <v>196</v>
      </c>
      <c r="B6">
        <v>2</v>
      </c>
      <c r="C6">
        <v>1957</v>
      </c>
      <c r="D6">
        <v>1</v>
      </c>
      <c r="E6">
        <v>1</v>
      </c>
      <c r="F6">
        <v>1</v>
      </c>
      <c r="G6" t="s">
        <v>285</v>
      </c>
      <c r="H6">
        <v>0</v>
      </c>
      <c r="I6">
        <v>0.18268400000000001</v>
      </c>
      <c r="J6">
        <v>0.272532</v>
      </c>
      <c r="K6">
        <v>0.496585</v>
      </c>
      <c r="L6">
        <v>0.74081799999999998</v>
      </c>
      <c r="M6">
        <v>0.904837</v>
      </c>
      <c r="N6">
        <v>1</v>
      </c>
      <c r="O6">
        <v>1</v>
      </c>
      <c r="P6">
        <v>1</v>
      </c>
      <c r="Q6">
        <v>1</v>
      </c>
      <c r="R6">
        <v>1</v>
      </c>
      <c r="S6">
        <v>1</v>
      </c>
      <c r="T6">
        <v>1</v>
      </c>
    </row>
    <row r="7" spans="1:38" x14ac:dyDescent="0.25">
      <c r="A7" t="s">
        <v>196</v>
      </c>
      <c r="B7">
        <v>2</v>
      </c>
      <c r="C7">
        <v>2008</v>
      </c>
      <c r="D7">
        <v>1</v>
      </c>
      <c r="E7">
        <v>1</v>
      </c>
      <c r="F7">
        <v>1</v>
      </c>
      <c r="G7" t="s">
        <v>281</v>
      </c>
      <c r="H7">
        <v>0</v>
      </c>
      <c r="I7">
        <v>0.18268400000000001</v>
      </c>
      <c r="J7">
        <v>0.272532</v>
      </c>
      <c r="K7">
        <v>0.496585</v>
      </c>
      <c r="L7">
        <v>0.74081799999999998</v>
      </c>
      <c r="M7">
        <v>0.904837</v>
      </c>
      <c r="N7">
        <v>1</v>
      </c>
      <c r="O7">
        <v>1</v>
      </c>
      <c r="P7">
        <v>1</v>
      </c>
      <c r="Q7">
        <v>1</v>
      </c>
      <c r="R7">
        <v>1</v>
      </c>
      <c r="S7">
        <v>1</v>
      </c>
      <c r="T7">
        <v>1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I7"/>
  <sheetViews>
    <sheetView workbookViewId="0"/>
  </sheetViews>
  <sheetFormatPr defaultRowHeight="15" x14ac:dyDescent="0.25"/>
  <sheetData>
    <row r="1" spans="1:139" ht="257.25" customHeight="1" x14ac:dyDescent="0.25">
      <c r="L1" s="18"/>
    </row>
    <row r="3" spans="1:139" x14ac:dyDescent="0.25">
      <c r="B3" s="19"/>
      <c r="D3" s="19"/>
      <c r="E3" s="19"/>
      <c r="F3" s="19"/>
      <c r="G3" s="19"/>
      <c r="J3" s="19"/>
      <c r="K3" s="2"/>
      <c r="V3" s="6" t="e">
        <f>IF(F3&lt;0,-F3,#N/A)</f>
        <v>#N/A</v>
      </c>
      <c r="W3" s="6">
        <f>IF(F3&gt;=0,F3,#N/A)</f>
        <v>0</v>
      </c>
      <c r="X3" s="6" t="e">
        <f>IF(F3&gt;0,F3-1.96*I3,#N/A)</f>
        <v>#N/A</v>
      </c>
      <c r="Y3" s="6" t="e">
        <f>IF(F3&gt;0,F3+1.96*I3,#N/A)</f>
        <v>#N/A</v>
      </c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</row>
    <row r="4" spans="1:139" x14ac:dyDescent="0.25">
      <c r="A4" t="s">
        <v>0</v>
      </c>
      <c r="B4" t="s">
        <v>326</v>
      </c>
      <c r="C4" t="s">
        <v>3</v>
      </c>
      <c r="D4" t="s">
        <v>2</v>
      </c>
      <c r="E4" t="s">
        <v>318</v>
      </c>
      <c r="F4" t="s">
        <v>4</v>
      </c>
      <c r="G4" t="s">
        <v>5</v>
      </c>
      <c r="H4" t="s">
        <v>264</v>
      </c>
      <c r="I4" t="s">
        <v>265</v>
      </c>
      <c r="J4" t="s">
        <v>27</v>
      </c>
      <c r="K4" t="s">
        <v>6</v>
      </c>
      <c r="L4" s="19" t="s">
        <v>28</v>
      </c>
      <c r="M4" t="s">
        <v>304</v>
      </c>
      <c r="N4" t="s">
        <v>315</v>
      </c>
      <c r="O4" t="s">
        <v>327</v>
      </c>
      <c r="P4" t="s">
        <v>328</v>
      </c>
      <c r="Q4" s="19" t="s">
        <v>329</v>
      </c>
      <c r="R4" s="19"/>
      <c r="S4" s="19"/>
      <c r="T4" s="19"/>
      <c r="V4" s="5" t="s">
        <v>203</v>
      </c>
      <c r="W4" s="5" t="s">
        <v>66</v>
      </c>
      <c r="X4" s="1" t="s">
        <v>201</v>
      </c>
      <c r="Y4" s="1" t="s">
        <v>202</v>
      </c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</row>
    <row r="5" spans="1:139" x14ac:dyDescent="0.25">
      <c r="L5" s="19"/>
      <c r="Q5" s="19"/>
      <c r="R5" s="19"/>
      <c r="S5" s="19"/>
      <c r="T5" s="19"/>
      <c r="V5" s="6" t="e">
        <f t="shared" ref="V5:V6" si="0">IF(F5&lt;0,-F5,#N/A)</f>
        <v>#N/A</v>
      </c>
      <c r="W5" s="6">
        <f t="shared" ref="W5:W6" si="1">IF(F5&gt;=0,F5,#N/A)</f>
        <v>0</v>
      </c>
      <c r="X5" s="6" t="e">
        <f t="shared" ref="X5:X6" si="2">IF(F5&gt;0,F5-1.96*I5,#N/A)</f>
        <v>#N/A</v>
      </c>
      <c r="Y5" s="6" t="e">
        <f t="shared" ref="Y5:Y6" si="3">IF(F5&gt;0,F5+1.96*I5,#N/A)</f>
        <v>#N/A</v>
      </c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</row>
    <row r="6" spans="1:139" x14ac:dyDescent="0.25">
      <c r="A6" t="s">
        <v>325</v>
      </c>
      <c r="L6" s="19"/>
      <c r="Q6" s="19"/>
      <c r="R6" s="19"/>
      <c r="S6" s="19"/>
      <c r="T6" s="19"/>
      <c r="V6" s="6" t="e">
        <f t="shared" si="0"/>
        <v>#N/A</v>
      </c>
      <c r="W6" s="6">
        <f t="shared" si="1"/>
        <v>0</v>
      </c>
      <c r="X6" s="6" t="e">
        <f t="shared" si="2"/>
        <v>#N/A</v>
      </c>
      <c r="Y6" s="6" t="e">
        <f t="shared" si="3"/>
        <v>#N/A</v>
      </c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</row>
    <row r="7" spans="1:139" x14ac:dyDescent="0.25">
      <c r="T7" s="19"/>
      <c r="V7" s="6"/>
      <c r="W7" s="6"/>
      <c r="X7" s="6"/>
      <c r="Y7" s="6"/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S7"/>
  <sheetViews>
    <sheetView workbookViewId="0"/>
  </sheetViews>
  <sheetFormatPr defaultRowHeight="15" x14ac:dyDescent="0.25"/>
  <sheetData>
    <row r="1" spans="1:19" ht="279.75" customHeight="1" x14ac:dyDescent="0.25">
      <c r="L1" s="18"/>
    </row>
    <row r="3" spans="1:19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P3" s="6" t="e">
        <f>IF(M3&lt;0,-G3,#N/A)</f>
        <v>#N/A</v>
      </c>
      <c r="Q3" s="6">
        <f>IF(M3&gt;=0,G3,#N/A)</f>
        <v>0</v>
      </c>
      <c r="R3" s="6" t="e">
        <f>IF(M3&gt;0,G3-1.96*G3*H3,#N/A)</f>
        <v>#N/A</v>
      </c>
      <c r="S3" s="6" t="e">
        <f>IF(M3&gt;0,G3+1.96*G3*H3,#N/A)</f>
        <v>#N/A</v>
      </c>
    </row>
    <row r="4" spans="1:19" x14ac:dyDescent="0.25">
      <c r="L4" s="19"/>
      <c r="P4" s="5" t="s">
        <v>203</v>
      </c>
      <c r="Q4" s="5" t="s">
        <v>66</v>
      </c>
      <c r="R4" s="1" t="s">
        <v>201</v>
      </c>
      <c r="S4" s="1" t="s">
        <v>202</v>
      </c>
    </row>
    <row r="5" spans="1:19" x14ac:dyDescent="0.25">
      <c r="A5" t="s">
        <v>321</v>
      </c>
      <c r="L5" s="19"/>
      <c r="P5" s="6" t="e">
        <f>IF(M5&lt;0,-G5,#N/A)</f>
        <v>#N/A</v>
      </c>
      <c r="Q5" s="6">
        <f>IF(M5&gt;=0,G5,#N/A)</f>
        <v>0</v>
      </c>
      <c r="R5" s="6" t="e">
        <f>IF(M5&gt;0,G5-1.96*G5*H5,#N/A)</f>
        <v>#N/A</v>
      </c>
      <c r="S5" s="6" t="e">
        <f>IF(M5&gt;0,G5+1.96*G5*H5,#N/A)</f>
        <v>#N/A</v>
      </c>
    </row>
    <row r="6" spans="1:19" x14ac:dyDescent="0.25">
      <c r="B6" s="19"/>
      <c r="D6" s="19"/>
      <c r="E6" s="19"/>
      <c r="F6" s="19"/>
      <c r="G6" s="19"/>
      <c r="J6" s="19"/>
      <c r="K6" s="2"/>
      <c r="P6" s="6"/>
      <c r="Q6" s="6"/>
      <c r="R6" s="6"/>
      <c r="S6" s="6"/>
    </row>
    <row r="7" spans="1:19" x14ac:dyDescent="0.25">
      <c r="K7" s="2"/>
      <c r="P7" s="6"/>
      <c r="Q7" s="6"/>
      <c r="R7" s="6"/>
      <c r="S7" s="6"/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AU7"/>
  <sheetViews>
    <sheetView workbookViewId="0"/>
  </sheetViews>
  <sheetFormatPr defaultRowHeight="15" x14ac:dyDescent="0.25"/>
  <sheetData>
    <row r="1" spans="1:47" ht="259.5" customHeight="1" x14ac:dyDescent="0.25">
      <c r="Q1" s="18"/>
    </row>
    <row r="3" spans="1:47" x14ac:dyDescent="0.25">
      <c r="B3" s="11" t="s">
        <v>258</v>
      </c>
      <c r="C3" s="13">
        <v>4</v>
      </c>
    </row>
    <row r="4" spans="1:47" x14ac:dyDescent="0.25">
      <c r="B4" s="11" t="s">
        <v>259</v>
      </c>
      <c r="C4" s="13">
        <v>9</v>
      </c>
    </row>
    <row r="5" spans="1:47" ht="15.75" thickBot="1" x14ac:dyDescent="0.3">
      <c r="A5" s="15" t="s">
        <v>255</v>
      </c>
      <c r="B5" s="15" t="s">
        <v>257</v>
      </c>
      <c r="C5" s="15" t="s">
        <v>256</v>
      </c>
      <c r="D5" t="s">
        <v>30</v>
      </c>
      <c r="E5" t="s">
        <v>1</v>
      </c>
      <c r="F5" t="s">
        <v>214</v>
      </c>
      <c r="G5">
        <v>0</v>
      </c>
      <c r="H5">
        <v>1</v>
      </c>
      <c r="I5">
        <v>2</v>
      </c>
      <c r="J5">
        <v>3</v>
      </c>
      <c r="K5">
        <v>4</v>
      </c>
      <c r="L5">
        <v>5</v>
      </c>
      <c r="M5">
        <v>6</v>
      </c>
      <c r="N5">
        <v>7</v>
      </c>
      <c r="O5">
        <v>8</v>
      </c>
      <c r="P5">
        <v>9</v>
      </c>
      <c r="Q5">
        <v>10</v>
      </c>
      <c r="R5">
        <v>11</v>
      </c>
      <c r="S5">
        <v>12</v>
      </c>
      <c r="T5">
        <v>13</v>
      </c>
      <c r="U5">
        <v>14</v>
      </c>
      <c r="V5">
        <v>15</v>
      </c>
      <c r="W5">
        <v>16</v>
      </c>
      <c r="X5">
        <v>17</v>
      </c>
      <c r="AT5" s="19"/>
      <c r="AU5" s="19"/>
    </row>
    <row r="6" spans="1:47" x14ac:dyDescent="0.25">
      <c r="A6" s="14">
        <v>0.18984799999999999</v>
      </c>
      <c r="B6" s="12">
        <v>5</v>
      </c>
      <c r="C6" s="14">
        <v>0.16844583333333332</v>
      </c>
      <c r="D6">
        <v>1</v>
      </c>
      <c r="E6">
        <v>1</v>
      </c>
      <c r="F6">
        <v>1963</v>
      </c>
      <c r="G6" t="s">
        <v>361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 t="s">
        <v>205</v>
      </c>
      <c r="AT6" s="19"/>
      <c r="AU6" s="19"/>
    </row>
    <row r="7" spans="1:47" x14ac:dyDescent="0.25">
      <c r="A7" s="14">
        <v>0.239395</v>
      </c>
      <c r="B7" s="12">
        <v>5</v>
      </c>
      <c r="C7" s="14">
        <v>0.21240699999999998</v>
      </c>
      <c r="D7">
        <v>1</v>
      </c>
      <c r="E7">
        <v>1</v>
      </c>
      <c r="F7">
        <v>1964</v>
      </c>
      <c r="G7" t="s">
        <v>361</v>
      </c>
      <c r="H7">
        <v>9.3870000000000342E-3</v>
      </c>
      <c r="I7">
        <v>0.19205</v>
      </c>
      <c r="J7">
        <v>0.14483600000000002</v>
      </c>
      <c r="K7">
        <v>0.13634200000000002</v>
      </c>
      <c r="L7">
        <v>0.14782899999999999</v>
      </c>
      <c r="M7">
        <v>0.15644600000000003</v>
      </c>
      <c r="N7">
        <v>0.16158600000000001</v>
      </c>
      <c r="O7">
        <v>0.16450700000000001</v>
      </c>
      <c r="P7">
        <v>0.16617100000000001</v>
      </c>
      <c r="Q7">
        <v>0.167134</v>
      </c>
      <c r="R7">
        <v>0.16770000000000002</v>
      </c>
      <c r="S7">
        <v>0.16803699999999999</v>
      </c>
      <c r="T7">
        <v>0.168236</v>
      </c>
      <c r="U7">
        <v>0.168354</v>
      </c>
      <c r="V7">
        <v>0.16842299999999999</v>
      </c>
      <c r="W7">
        <v>0.16849800000000004</v>
      </c>
      <c r="X7" t="s">
        <v>205</v>
      </c>
      <c r="AT7" s="19"/>
      <c r="AU7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Annual_F">
                <anchor moveWithCells="1" sizeWithCells="1">
                  <from>
                    <xdr:col>3</xdr:col>
                    <xdr:colOff>47625</xdr:colOff>
                    <xdr:row>1</xdr:row>
                    <xdr:rowOff>28575</xdr:rowOff>
                  </from>
                  <to>
                    <xdr:col>6</xdr:col>
                    <xdr:colOff>85725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57</vt:i4>
      </vt:variant>
    </vt:vector>
  </HeadingPairs>
  <TitlesOfParts>
    <vt:vector size="74" baseType="lpstr">
      <vt:lpstr>CompReport_SSO</vt:lpstr>
      <vt:lpstr>REPORT_SSO</vt:lpstr>
      <vt:lpstr>Main</vt:lpstr>
      <vt:lpstr>StdErr</vt:lpstr>
      <vt:lpstr>Time_Series</vt:lpstr>
      <vt:lpstr>Annual</vt:lpstr>
      <vt:lpstr>SRR</vt:lpstr>
      <vt:lpstr>SURVEY</vt:lpstr>
      <vt:lpstr>Comp_Disp</vt:lpstr>
      <vt:lpstr>BIO</vt:lpstr>
      <vt:lpstr>Len_Sel_A</vt:lpstr>
      <vt:lpstr>Len_Sel_D</vt:lpstr>
      <vt:lpstr>Age_Sel_A</vt:lpstr>
      <vt:lpstr>Age_Sel_D</vt:lpstr>
      <vt:lpstr>Discard</vt:lpstr>
      <vt:lpstr>BODYWT</vt:lpstr>
      <vt:lpstr>Annual_F</vt:lpstr>
      <vt:lpstr>BIO!ACV_Mid</vt:lpstr>
      <vt:lpstr>BIO!Age_Beg</vt:lpstr>
      <vt:lpstr>BIO!Age_Mid</vt:lpstr>
      <vt:lpstr>AgeSelex_Raw</vt:lpstr>
      <vt:lpstr>Annual_F!Apical_F</vt:lpstr>
      <vt:lpstr>Annual_F!Ave_F</vt:lpstr>
      <vt:lpstr>Comp_Disp!Bin</vt:lpstr>
      <vt:lpstr>Annual!Bio_smry</vt:lpstr>
      <vt:lpstr>Time_Series!Bio_smry</vt:lpstr>
      <vt:lpstr>CompReport_SSO!CompReport</vt:lpstr>
      <vt:lpstr>Comp_Disp!Cum_exp</vt:lpstr>
      <vt:lpstr>Comp_Disp!Cum_obs</vt:lpstr>
      <vt:lpstr>Annual!Dead_Catch</vt:lpstr>
      <vt:lpstr>BODYWT!delete_OBS</vt:lpstr>
      <vt:lpstr>Discard!delete_OBS</vt:lpstr>
      <vt:lpstr>SURVEY!delete_OBS</vt:lpstr>
      <vt:lpstr>SURVEY!Eff_Q</vt:lpstr>
      <vt:lpstr>BODYWT!Exp</vt:lpstr>
      <vt:lpstr>Comp_Disp!Exp</vt:lpstr>
      <vt:lpstr>Discard!Exp</vt:lpstr>
      <vt:lpstr>SURVEY!Exp</vt:lpstr>
      <vt:lpstr>Annual!F_std</vt:lpstr>
      <vt:lpstr>BIO!Len_Beg</vt:lpstr>
      <vt:lpstr>BIO!Len_Mid</vt:lpstr>
      <vt:lpstr>LenSelexArea</vt:lpstr>
      <vt:lpstr>Main_List</vt:lpstr>
      <vt:lpstr>BODYWT!OBS</vt:lpstr>
      <vt:lpstr>Comp_Disp!Obs</vt:lpstr>
      <vt:lpstr>Discard!OBS</vt:lpstr>
      <vt:lpstr>SURVEY!OBS</vt:lpstr>
      <vt:lpstr>Comp_Disp!Pearson</vt:lpstr>
      <vt:lpstr>put_agecomp</vt:lpstr>
      <vt:lpstr>put_ageselex</vt:lpstr>
      <vt:lpstr>put_biology</vt:lpstr>
      <vt:lpstr>put_selex</vt:lpstr>
      <vt:lpstr>put_survey</vt:lpstr>
      <vt:lpstr>Time_Series!Recruit_0</vt:lpstr>
      <vt:lpstr>Annual!Recruits</vt:lpstr>
      <vt:lpstr>REPORT_SSO!Report_1</vt:lpstr>
      <vt:lpstr>BIO!SD_Beg</vt:lpstr>
      <vt:lpstr>BIO!SD_Mid</vt:lpstr>
      <vt:lpstr>BODYWT!se2_hi</vt:lpstr>
      <vt:lpstr>Discard!se2_hi</vt:lpstr>
      <vt:lpstr>SURVEY!se2_hi</vt:lpstr>
      <vt:lpstr>BODYWT!se2_low</vt:lpstr>
      <vt:lpstr>Discard!se2_low</vt:lpstr>
      <vt:lpstr>SURVEY!se2_low</vt:lpstr>
      <vt:lpstr>Time_Series!SpawnBio</vt:lpstr>
      <vt:lpstr>Annual!SPB</vt:lpstr>
      <vt:lpstr>Annual!SPR_std</vt:lpstr>
      <vt:lpstr>Annual!Year</vt:lpstr>
      <vt:lpstr>Annual_F!Year</vt:lpstr>
      <vt:lpstr>BODYWT!Yr</vt:lpstr>
      <vt:lpstr>Comp_Disp!Yr</vt:lpstr>
      <vt:lpstr>Discard!Yr</vt:lpstr>
      <vt:lpstr>SURVEY!Yr</vt:lpstr>
      <vt:lpstr>Time_Series!Yr</vt:lpstr>
    </vt:vector>
  </TitlesOfParts>
  <Company>NOAA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methot</dc:creator>
  <cp:lastModifiedBy>Methot, Richard</cp:lastModifiedBy>
  <dcterms:created xsi:type="dcterms:W3CDTF">2009-04-27T16:07:19Z</dcterms:created>
  <dcterms:modified xsi:type="dcterms:W3CDTF">2016-04-06T01:04:13Z</dcterms:modified>
</cp:coreProperties>
</file>