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rd.Methot\Documents\SS_Model\SS_Topics\Selectivity\"/>
    </mc:Choice>
  </mc:AlternateContent>
  <bookViews>
    <workbookView xWindow="360" yWindow="75" windowWidth="13680" windowHeight="9030" activeTab="1"/>
  </bookViews>
  <sheets>
    <sheet name="Len-24 Age -20" sheetId="1" r:id="rId1"/>
    <sheet name="Len 6" sheetId="6" r:id="rId2"/>
    <sheet name="Len-1" sheetId="2" r:id="rId3"/>
    <sheet name="Age-12" sheetId="3" r:id="rId4"/>
    <sheet name="Age -17" sheetId="4" r:id="rId5"/>
    <sheet name="Age-17 improved" sheetId="5" r:id="rId6"/>
  </sheets>
  <externalReferences>
    <externalReference r:id="rId7"/>
  </externalReferences>
  <definedNames>
    <definedName name="_sp1">[1]DblLog!$T$4</definedName>
    <definedName name="_sp2">[1]DblLog!$T$5</definedName>
    <definedName name="_sp3">[1]DblLog!$T$6</definedName>
    <definedName name="_sp4">[1]DblLog!$T$7</definedName>
    <definedName name="_sp5">[1]DblLog!$T$8</definedName>
    <definedName name="_sp6">[1]DblLog!$T$9</definedName>
    <definedName name="_sp7">[1]DblLog!$T$10</definedName>
    <definedName name="_sp8">[1]DblLog!$T$11</definedName>
    <definedName name="ascskew">[1]Normal!#REF!</definedName>
    <definedName name="ascslope">[1]Normal!$E$4</definedName>
    <definedName name="descslope">[1]Normal!$E$5</definedName>
    <definedName name="final">[1]DblLog!$T$32</definedName>
    <definedName name="final2">[1]Compare!$E$6</definedName>
    <definedName name="init">[1]Normal!$E$6</definedName>
    <definedName name="k1i">[1]DblLog!$T$34</definedName>
    <definedName name="k2i">[1]DblLog!$T$35</definedName>
    <definedName name="L_m">[1]DblLog!$B$5:$B$129</definedName>
    <definedName name="LOGISTIC">[1]Compare!$N$8:$N$87</definedName>
    <definedName name="maxL">[1]DblLog!$T$13</definedName>
    <definedName name="minL">[1]DblLog!$T$12</definedName>
    <definedName name="peak">[1]Normal!$E$2</definedName>
    <definedName name="peak2">[1]Normal!$E$3</definedName>
    <definedName name="SIZE">[1]DblLog!$A$5:$A$109</definedName>
    <definedName name="t1max">[1]DblLog!$T$26</definedName>
    <definedName name="t1min">[1]DblLog!$T$25</definedName>
    <definedName name="t1p">[1]DblLog!$T$24</definedName>
    <definedName name="t1power">[1]DblLog!$T$27</definedName>
    <definedName name="t2max">[1]DblLog!$T$30</definedName>
    <definedName name="t2min">[1]DblLog!$T$29</definedName>
    <definedName name="t2p">[1]DblLog!$T$28</definedName>
    <definedName name="t2power">[1]DblLog!$T$31</definedName>
  </definedNames>
  <calcPr calcId="162913"/>
</workbook>
</file>

<file path=xl/calcChain.xml><?xml version="1.0" encoding="utf-8"?>
<calcChain xmlns="http://schemas.openxmlformats.org/spreadsheetml/2006/main">
  <c r="B63" i="6" l="1"/>
  <c r="G20" i="6"/>
  <c r="F20" i="6"/>
  <c r="E20" i="6"/>
  <c r="D20" i="6"/>
  <c r="C20" i="6"/>
  <c r="B20" i="6"/>
  <c r="A20" i="6"/>
  <c r="B25" i="6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D25" i="6"/>
  <c r="D26" i="6" s="1"/>
  <c r="D27" i="6" s="1"/>
  <c r="D28" i="6" s="1"/>
  <c r="D29" i="6" s="1"/>
  <c r="D30" i="6" s="1"/>
  <c r="D31" i="6" s="1"/>
  <c r="D32" i="6" s="1"/>
  <c r="D33" i="6" s="1"/>
  <c r="D34" i="6" s="1"/>
  <c r="D35" i="6" s="1"/>
  <c r="D36" i="6" s="1"/>
  <c r="D24" i="6"/>
  <c r="D54" i="6"/>
  <c r="D55" i="6" s="1"/>
  <c r="D50" i="6"/>
  <c r="D51" i="6" s="1"/>
  <c r="B40" i="6"/>
  <c r="B39" i="6"/>
  <c r="B38" i="6"/>
  <c r="D37" i="6"/>
  <c r="D38" i="6" s="1"/>
  <c r="D39" i="6" s="1"/>
  <c r="D40" i="6" s="1"/>
  <c r="B58" i="6"/>
  <c r="B54" i="6"/>
  <c r="B50" i="6"/>
  <c r="D45" i="6" s="1"/>
  <c r="B45" i="6"/>
  <c r="D41" i="6" s="1"/>
  <c r="D42" i="6" s="1"/>
  <c r="B42" i="6" s="1"/>
  <c r="B41" i="6"/>
  <c r="A41" i="6"/>
  <c r="B24" i="6"/>
  <c r="B37" i="6"/>
  <c r="C19" i="6"/>
  <c r="D19" i="6" s="1"/>
  <c r="E19" i="6" s="1"/>
  <c r="F19" i="6" s="1"/>
  <c r="G19" i="6" s="1"/>
  <c r="A63" i="6" s="1"/>
  <c r="B19" i="6"/>
  <c r="A26" i="6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2" i="6" s="1"/>
  <c r="A43" i="6" s="1"/>
  <c r="A44" i="6" s="1"/>
  <c r="A46" i="6" s="1"/>
  <c r="A47" i="6" s="1"/>
  <c r="A48" i="6" s="1"/>
  <c r="A49" i="6" s="1"/>
  <c r="A51" i="6" s="1"/>
  <c r="A52" i="6" s="1"/>
  <c r="A53" i="6" s="1"/>
  <c r="A55" i="6" s="1"/>
  <c r="A56" i="6" s="1"/>
  <c r="A57" i="6" s="1"/>
  <c r="A59" i="6" s="1"/>
  <c r="A60" i="6" s="1"/>
  <c r="A61" i="6" s="1"/>
  <c r="A62" i="6" s="1"/>
  <c r="A64" i="6" s="1"/>
  <c r="A65" i="6" s="1"/>
  <c r="A66" i="6" s="1"/>
  <c r="A67" i="6" s="1"/>
  <c r="A68" i="6" s="1"/>
  <c r="A25" i="6"/>
  <c r="E32" i="5"/>
  <c r="E31" i="5"/>
  <c r="E30" i="5"/>
  <c r="C30" i="5"/>
  <c r="C31" i="5" s="1"/>
  <c r="C32" i="5" s="1"/>
  <c r="E29" i="5"/>
  <c r="E28" i="5"/>
  <c r="E27" i="5"/>
  <c r="C27" i="5"/>
  <c r="C28" i="5" s="1"/>
  <c r="C29" i="5" s="1"/>
  <c r="E26" i="5"/>
  <c r="C26" i="5"/>
  <c r="E25" i="5"/>
  <c r="C25" i="5"/>
  <c r="E24" i="5"/>
  <c r="C24" i="5"/>
  <c r="E23" i="5"/>
  <c r="C23" i="5"/>
  <c r="E22" i="5"/>
  <c r="C22" i="5"/>
  <c r="E21" i="5"/>
  <c r="C21" i="5"/>
  <c r="E20" i="5"/>
  <c r="C20" i="5"/>
  <c r="E19" i="5"/>
  <c r="C19" i="5"/>
  <c r="E18" i="5"/>
  <c r="C18" i="5"/>
  <c r="E17" i="5"/>
  <c r="C17" i="5"/>
  <c r="E16" i="5"/>
  <c r="C16" i="5"/>
  <c r="E15" i="5"/>
  <c r="C15" i="5"/>
  <c r="E14" i="5"/>
  <c r="E13" i="5"/>
  <c r="E12" i="5"/>
  <c r="C12" i="5"/>
  <c r="C13" i="5" s="1"/>
  <c r="C14" i="5" s="1"/>
  <c r="E11" i="5"/>
  <c r="C11" i="5"/>
  <c r="G10" i="5"/>
  <c r="E10" i="5"/>
  <c r="G9" i="5"/>
  <c r="E9" i="5"/>
  <c r="C9" i="5"/>
  <c r="C10" i="5" s="1"/>
  <c r="C30" i="4"/>
  <c r="C31" i="4" s="1"/>
  <c r="C32" i="4" s="1"/>
  <c r="C27" i="4"/>
  <c r="C28" i="4" s="1"/>
  <c r="C29" i="4" s="1"/>
  <c r="C26" i="4"/>
  <c r="C25" i="4"/>
  <c r="C24" i="4"/>
  <c r="C23" i="4"/>
  <c r="C22" i="4"/>
  <c r="C21" i="4"/>
  <c r="C20" i="4"/>
  <c r="C19" i="4"/>
  <c r="C18" i="4"/>
  <c r="C17" i="4"/>
  <c r="C16" i="4"/>
  <c r="C15" i="4"/>
  <c r="C12" i="4"/>
  <c r="C13" i="4" s="1"/>
  <c r="C14" i="4" s="1"/>
  <c r="C11" i="4"/>
  <c r="F10" i="4"/>
  <c r="F9" i="4"/>
  <c r="C9" i="4"/>
  <c r="C10" i="4" s="1"/>
  <c r="A17" i="3"/>
  <c r="B17" i="3" s="1"/>
  <c r="C17" i="3" s="1"/>
  <c r="C12" i="3"/>
  <c r="D7" i="3"/>
  <c r="F6" i="3"/>
  <c r="E6" i="3"/>
  <c r="D6" i="3"/>
  <c r="A17" i="2"/>
  <c r="B17" i="2" s="1"/>
  <c r="C17" i="2" s="1"/>
  <c r="C12" i="2"/>
  <c r="G7" i="2"/>
  <c r="G6" i="2"/>
  <c r="D6" i="2"/>
  <c r="C6" i="2"/>
  <c r="D58" i="6" l="1"/>
  <c r="D59" i="6" s="1"/>
  <c r="D60" i="6"/>
  <c r="D61" i="6" s="1"/>
  <c r="D62" i="6" s="1"/>
  <c r="B59" i="6"/>
  <c r="B64" i="6"/>
  <c r="B65" i="6" s="1"/>
  <c r="B66" i="6" s="1"/>
  <c r="B67" i="6" s="1"/>
  <c r="B68" i="6" s="1"/>
  <c r="D52" i="6"/>
  <c r="D53" i="6" s="1"/>
  <c r="B51" i="6"/>
  <c r="D56" i="6"/>
  <c r="D57" i="6" s="1"/>
  <c r="B55" i="6"/>
  <c r="D43" i="6"/>
  <c r="D44" i="6" s="1"/>
  <c r="A58" i="6"/>
  <c r="A54" i="6"/>
  <c r="A50" i="6"/>
  <c r="A45" i="6"/>
  <c r="A18" i="2"/>
  <c r="A18" i="3"/>
  <c r="D9" i="4"/>
  <c r="D9" i="5"/>
  <c r="C8" i="1"/>
  <c r="U8" i="1" s="1"/>
  <c r="V8" i="1" s="1"/>
  <c r="S8" i="1"/>
  <c r="T8" i="1"/>
  <c r="C9" i="1"/>
  <c r="E9" i="1" s="1"/>
  <c r="S9" i="1"/>
  <c r="T9" i="1"/>
  <c r="C10" i="1"/>
  <c r="E10" i="1" s="1"/>
  <c r="S10" i="1"/>
  <c r="T10" i="1"/>
  <c r="C11" i="1"/>
  <c r="E11" i="1"/>
  <c r="S11" i="1"/>
  <c r="T11" i="1"/>
  <c r="U11" i="1"/>
  <c r="V11" i="1"/>
  <c r="C12" i="1"/>
  <c r="E12" i="1" s="1"/>
  <c r="S12" i="1"/>
  <c r="T12" i="1"/>
  <c r="C17" i="1"/>
  <c r="A26" i="1"/>
  <c r="B60" i="6" l="1"/>
  <c r="B61" i="6" s="1"/>
  <c r="B62" i="6" s="1"/>
  <c r="B56" i="6"/>
  <c r="B52" i="6"/>
  <c r="B43" i="6"/>
  <c r="B44" i="6" s="1"/>
  <c r="B18" i="3"/>
  <c r="C18" i="3" s="1"/>
  <c r="A19" i="3"/>
  <c r="D10" i="5"/>
  <c r="A19" i="2"/>
  <c r="B18" i="2"/>
  <c r="C18" i="2" s="1"/>
  <c r="D10" i="4"/>
  <c r="U12" i="1"/>
  <c r="V12" i="1" s="1"/>
  <c r="U9" i="1"/>
  <c r="V9" i="1" s="1"/>
  <c r="U10" i="1"/>
  <c r="V10" i="1" s="1"/>
  <c r="B20" i="1"/>
  <c r="B23" i="1"/>
  <c r="B26" i="1"/>
  <c r="A27" i="1"/>
  <c r="H15" i="1"/>
  <c r="B57" i="6" l="1"/>
  <c r="B53" i="6"/>
  <c r="D11" i="4"/>
  <c r="A20" i="2"/>
  <c r="B19" i="2"/>
  <c r="C19" i="2" s="1"/>
  <c r="A20" i="3"/>
  <c r="B19" i="3"/>
  <c r="C19" i="3" s="1"/>
  <c r="D11" i="5"/>
  <c r="B27" i="1"/>
  <c r="A28" i="1"/>
  <c r="G7" i="1"/>
  <c r="T7" i="1" s="1"/>
  <c r="F7" i="1"/>
  <c r="D12" i="5" l="1"/>
  <c r="B20" i="2"/>
  <c r="C20" i="2" s="1"/>
  <c r="A21" i="2"/>
  <c r="D12" i="4"/>
  <c r="A21" i="3"/>
  <c r="B20" i="3"/>
  <c r="C20" i="3" s="1"/>
  <c r="C7" i="1"/>
  <c r="S7" i="1"/>
  <c r="B28" i="1"/>
  <c r="A29" i="1"/>
  <c r="D13" i="5" l="1"/>
  <c r="D13" i="4"/>
  <c r="B21" i="3"/>
  <c r="C21" i="3" s="1"/>
  <c r="A22" i="3"/>
  <c r="B21" i="2"/>
  <c r="C21" i="2" s="1"/>
  <c r="A22" i="2"/>
  <c r="A30" i="1"/>
  <c r="B29" i="1"/>
  <c r="E7" i="1"/>
  <c r="U7" i="1"/>
  <c r="V7" i="1" s="1"/>
  <c r="A23" i="2" l="1"/>
  <c r="B22" i="2"/>
  <c r="C22" i="2" s="1"/>
  <c r="D14" i="4"/>
  <c r="B22" i="3"/>
  <c r="C22" i="3" s="1"/>
  <c r="A23" i="3"/>
  <c r="D14" i="5"/>
  <c r="E8" i="1"/>
  <c r="I29" i="1" s="1"/>
  <c r="B21" i="1"/>
  <c r="C26" i="1"/>
  <c r="H26" i="1"/>
  <c r="D20" i="1"/>
  <c r="H27" i="1"/>
  <c r="C27" i="1"/>
  <c r="H28" i="1"/>
  <c r="C29" i="1"/>
  <c r="H29" i="1"/>
  <c r="C28" i="1"/>
  <c r="B30" i="1"/>
  <c r="A31" i="1"/>
  <c r="D15" i="4" l="1"/>
  <c r="A24" i="3"/>
  <c r="B23" i="3"/>
  <c r="C23" i="3" s="1"/>
  <c r="D15" i="5"/>
  <c r="A24" i="2"/>
  <c r="B23" i="2"/>
  <c r="C23" i="2" s="1"/>
  <c r="D29" i="1"/>
  <c r="D28" i="1"/>
  <c r="F29" i="1"/>
  <c r="D27" i="1"/>
  <c r="D26" i="1"/>
  <c r="B31" i="1"/>
  <c r="A32" i="1"/>
  <c r="C30" i="1"/>
  <c r="D30" i="1" s="1"/>
  <c r="H30" i="1"/>
  <c r="I30" i="1"/>
  <c r="F30" i="1"/>
  <c r="B22" i="1"/>
  <c r="G23" i="1"/>
  <c r="I26" i="1"/>
  <c r="F26" i="1"/>
  <c r="I27" i="1"/>
  <c r="F27" i="1"/>
  <c r="I28" i="1"/>
  <c r="F28" i="1"/>
  <c r="A25" i="3" l="1"/>
  <c r="B24" i="3"/>
  <c r="C24" i="3" s="1"/>
  <c r="B24" i="2"/>
  <c r="C24" i="2" s="1"/>
  <c r="A25" i="2"/>
  <c r="D16" i="4"/>
  <c r="D16" i="5"/>
  <c r="G27" i="1"/>
  <c r="J27" i="1" s="1"/>
  <c r="G28" i="1"/>
  <c r="J28" i="1" s="1"/>
  <c r="G26" i="1"/>
  <c r="J26" i="1" s="1"/>
  <c r="G29" i="1"/>
  <c r="J29" i="1" s="1"/>
  <c r="B32" i="1"/>
  <c r="A33" i="1"/>
  <c r="F31" i="1"/>
  <c r="G31" i="1" s="1"/>
  <c r="C31" i="1"/>
  <c r="D31" i="1" s="1"/>
  <c r="H31" i="1"/>
  <c r="I31" i="1"/>
  <c r="G30" i="1"/>
  <c r="J30" i="1" s="1"/>
  <c r="D17" i="5" l="1"/>
  <c r="B25" i="2"/>
  <c r="C25" i="2" s="1"/>
  <c r="A26" i="2"/>
  <c r="D17" i="4"/>
  <c r="B25" i="3"/>
  <c r="C25" i="3" s="1"/>
  <c r="A26" i="3"/>
  <c r="B33" i="1"/>
  <c r="A34" i="1"/>
  <c r="J31" i="1"/>
  <c r="I32" i="1"/>
  <c r="F32" i="1"/>
  <c r="G32" i="1" s="1"/>
  <c r="H32" i="1"/>
  <c r="C32" i="1"/>
  <c r="D32" i="1" s="1"/>
  <c r="A27" i="2" l="1"/>
  <c r="B26" i="2"/>
  <c r="C26" i="2" s="1"/>
  <c r="D18" i="4"/>
  <c r="D18" i="5"/>
  <c r="B26" i="3"/>
  <c r="C26" i="3" s="1"/>
  <c r="A27" i="3"/>
  <c r="J32" i="1"/>
  <c r="B34" i="1"/>
  <c r="A35" i="1"/>
  <c r="C33" i="1"/>
  <c r="D33" i="1" s="1"/>
  <c r="H33" i="1"/>
  <c r="I33" i="1"/>
  <c r="F33" i="1"/>
  <c r="G33" i="1" s="1"/>
  <c r="D19" i="4" l="1"/>
  <c r="D19" i="5"/>
  <c r="A28" i="3"/>
  <c r="B27" i="3"/>
  <c r="C27" i="3" s="1"/>
  <c r="A28" i="2"/>
  <c r="B27" i="2"/>
  <c r="C27" i="2" s="1"/>
  <c r="J33" i="1"/>
  <c r="B35" i="1"/>
  <c r="A36" i="1"/>
  <c r="C34" i="1"/>
  <c r="D34" i="1" s="1"/>
  <c r="H34" i="1"/>
  <c r="I34" i="1"/>
  <c r="F34" i="1"/>
  <c r="G34" i="1" s="1"/>
  <c r="B28" i="2" l="1"/>
  <c r="C28" i="2" s="1"/>
  <c r="A29" i="2"/>
  <c r="D20" i="5"/>
  <c r="D20" i="4"/>
  <c r="A29" i="3"/>
  <c r="B28" i="3"/>
  <c r="C28" i="3" s="1"/>
  <c r="J34" i="1"/>
  <c r="B36" i="1"/>
  <c r="A37" i="1"/>
  <c r="F35" i="1"/>
  <c r="G35" i="1" s="1"/>
  <c r="H35" i="1"/>
  <c r="C35" i="1"/>
  <c r="D35" i="1" s="1"/>
  <c r="I35" i="1"/>
  <c r="D21" i="5" l="1"/>
  <c r="B29" i="3"/>
  <c r="C29" i="3" s="1"/>
  <c r="A30" i="3"/>
  <c r="D21" i="4"/>
  <c r="B29" i="2"/>
  <c r="C29" i="2" s="1"/>
  <c r="A30" i="2"/>
  <c r="A38" i="1"/>
  <c r="B37" i="1"/>
  <c r="J35" i="1"/>
  <c r="F36" i="1"/>
  <c r="G36" i="1" s="1"/>
  <c r="C36" i="1"/>
  <c r="D36" i="1" s="1"/>
  <c r="I36" i="1"/>
  <c r="H36" i="1"/>
  <c r="B30" i="3" l="1"/>
  <c r="C30" i="3" s="1"/>
  <c r="A31" i="3"/>
  <c r="D22" i="4"/>
  <c r="D22" i="5"/>
  <c r="A31" i="2"/>
  <c r="B30" i="2"/>
  <c r="C30" i="2" s="1"/>
  <c r="J36" i="1"/>
  <c r="I37" i="1"/>
  <c r="F37" i="1"/>
  <c r="G37" i="1" s="1"/>
  <c r="H37" i="1"/>
  <c r="C37" i="1"/>
  <c r="D37" i="1" s="1"/>
  <c r="A39" i="1"/>
  <c r="B38" i="1"/>
  <c r="D23" i="4" l="1"/>
  <c r="A32" i="2"/>
  <c r="B31" i="2"/>
  <c r="C31" i="2" s="1"/>
  <c r="D23" i="5"/>
  <c r="A32" i="3"/>
  <c r="B31" i="3"/>
  <c r="C31" i="3" s="1"/>
  <c r="J37" i="1"/>
  <c r="C38" i="1"/>
  <c r="D38" i="1" s="1"/>
  <c r="H38" i="1"/>
  <c r="I38" i="1"/>
  <c r="F38" i="1"/>
  <c r="G38" i="1" s="1"/>
  <c r="B39" i="1"/>
  <c r="A40" i="1"/>
  <c r="B32" i="2" l="1"/>
  <c r="C32" i="2" s="1"/>
  <c r="A33" i="2"/>
  <c r="A33" i="3"/>
  <c r="B32" i="3"/>
  <c r="C32" i="3" s="1"/>
  <c r="D24" i="4"/>
  <c r="D24" i="5"/>
  <c r="J38" i="1"/>
  <c r="C39" i="1"/>
  <c r="D39" i="1" s="1"/>
  <c r="I39" i="1"/>
  <c r="F39" i="1"/>
  <c r="G39" i="1" s="1"/>
  <c r="H39" i="1"/>
  <c r="A41" i="1"/>
  <c r="B40" i="1"/>
  <c r="B33" i="3" l="1"/>
  <c r="C33" i="3" s="1"/>
  <c r="A34" i="3"/>
  <c r="D25" i="5"/>
  <c r="D25" i="4"/>
  <c r="B33" i="2"/>
  <c r="C33" i="2" s="1"/>
  <c r="A34" i="2"/>
  <c r="J39" i="1"/>
  <c r="F40" i="1"/>
  <c r="G40" i="1" s="1"/>
  <c r="H40" i="1"/>
  <c r="C40" i="1"/>
  <c r="D40" i="1" s="1"/>
  <c r="I40" i="1"/>
  <c r="B41" i="1"/>
  <c r="A42" i="1"/>
  <c r="A35" i="2" l="1"/>
  <c r="B34" i="2"/>
  <c r="C34" i="2" s="1"/>
  <c r="D26" i="5"/>
  <c r="D26" i="4"/>
  <c r="B34" i="3"/>
  <c r="C34" i="3" s="1"/>
  <c r="A35" i="3"/>
  <c r="B42" i="1"/>
  <c r="A43" i="1"/>
  <c r="J40" i="1"/>
  <c r="I41" i="1"/>
  <c r="C41" i="1"/>
  <c r="D41" i="1" s="1"/>
  <c r="F41" i="1"/>
  <c r="G41" i="1" s="1"/>
  <c r="H41" i="1"/>
  <c r="A36" i="3" l="1"/>
  <c r="B35" i="3"/>
  <c r="C35" i="3" s="1"/>
  <c r="D27" i="5"/>
  <c r="D27" i="4"/>
  <c r="A36" i="2"/>
  <c r="B35" i="2"/>
  <c r="C35" i="2" s="1"/>
  <c r="C42" i="1"/>
  <c r="D42" i="1" s="1"/>
  <c r="H42" i="1"/>
  <c r="I42" i="1"/>
  <c r="F42" i="1"/>
  <c r="G42" i="1" s="1"/>
  <c r="J41" i="1"/>
  <c r="B43" i="1"/>
  <c r="A44" i="1"/>
  <c r="B36" i="2" l="1"/>
  <c r="C36" i="2" s="1"/>
  <c r="A37" i="2"/>
  <c r="D28" i="5"/>
  <c r="D28" i="4"/>
  <c r="A37" i="3"/>
  <c r="B36" i="3"/>
  <c r="C36" i="3" s="1"/>
  <c r="J42" i="1"/>
  <c r="A45" i="1"/>
  <c r="B44" i="1"/>
  <c r="H43" i="1"/>
  <c r="F43" i="1"/>
  <c r="G43" i="1" s="1"/>
  <c r="I43" i="1"/>
  <c r="C43" i="1"/>
  <c r="D43" i="1" s="1"/>
  <c r="D29" i="5" l="1"/>
  <c r="B37" i="3"/>
  <c r="C37" i="3" s="1"/>
  <c r="A38" i="3"/>
  <c r="D29" i="4"/>
  <c r="B37" i="2"/>
  <c r="C37" i="2" s="1"/>
  <c r="A38" i="2"/>
  <c r="J43" i="1"/>
  <c r="F44" i="1"/>
  <c r="G44" i="1" s="1"/>
  <c r="C44" i="1"/>
  <c r="D44" i="1" s="1"/>
  <c r="I44" i="1"/>
  <c r="H44" i="1"/>
  <c r="B45" i="1"/>
  <c r="A46" i="1"/>
  <c r="B38" i="3" l="1"/>
  <c r="C38" i="3" s="1"/>
  <c r="A39" i="3"/>
  <c r="D30" i="4"/>
  <c r="D30" i="5"/>
  <c r="A39" i="2"/>
  <c r="B38" i="2"/>
  <c r="C38" i="2" s="1"/>
  <c r="A47" i="1"/>
  <c r="B46" i="1"/>
  <c r="J44" i="1"/>
  <c r="I45" i="1"/>
  <c r="H45" i="1"/>
  <c r="F45" i="1"/>
  <c r="G45" i="1" s="1"/>
  <c r="C45" i="1"/>
  <c r="D45" i="1" s="1"/>
  <c r="D31" i="4" l="1"/>
  <c r="A40" i="2"/>
  <c r="B39" i="2"/>
  <c r="C39" i="2" s="1"/>
  <c r="D31" i="5"/>
  <c r="A40" i="3"/>
  <c r="B39" i="3"/>
  <c r="C39" i="3" s="1"/>
  <c r="J45" i="1"/>
  <c r="C46" i="1"/>
  <c r="D46" i="1" s="1"/>
  <c r="H46" i="1"/>
  <c r="I46" i="1"/>
  <c r="F46" i="1"/>
  <c r="G46" i="1" s="1"/>
  <c r="B47" i="1"/>
  <c r="A48" i="1"/>
  <c r="B40" i="2" l="1"/>
  <c r="C40" i="2" s="1"/>
  <c r="A41" i="2"/>
  <c r="A41" i="3"/>
  <c r="B40" i="3"/>
  <c r="C40" i="3" s="1"/>
  <c r="D32" i="4"/>
  <c r="D32" i="5"/>
  <c r="B48" i="1"/>
  <c r="A49" i="1"/>
  <c r="F47" i="1"/>
  <c r="G47" i="1" s="1"/>
  <c r="C47" i="1"/>
  <c r="D47" i="1" s="1"/>
  <c r="I47" i="1"/>
  <c r="H47" i="1"/>
  <c r="J46" i="1"/>
  <c r="B41" i="3" l="1"/>
  <c r="C41" i="3" s="1"/>
  <c r="A42" i="3"/>
  <c r="D6" i="4"/>
  <c r="B41" i="2"/>
  <c r="C41" i="2" s="1"/>
  <c r="A42" i="2"/>
  <c r="E6" i="5"/>
  <c r="F32" i="5" s="1"/>
  <c r="G32" i="5" s="1"/>
  <c r="J47" i="1"/>
  <c r="B49" i="1"/>
  <c r="A50" i="1"/>
  <c r="F48" i="1"/>
  <c r="G48" i="1" s="1"/>
  <c r="H48" i="1"/>
  <c r="C48" i="1"/>
  <c r="D48" i="1" s="1"/>
  <c r="I48" i="1"/>
  <c r="E9" i="4" l="1"/>
  <c r="E10" i="4"/>
  <c r="E11" i="4"/>
  <c r="F11" i="4" s="1"/>
  <c r="E12" i="4"/>
  <c r="F12" i="4" s="1"/>
  <c r="E13" i="4"/>
  <c r="F13" i="4" s="1"/>
  <c r="E14" i="4"/>
  <c r="F14" i="4" s="1"/>
  <c r="E15" i="4"/>
  <c r="F15" i="4" s="1"/>
  <c r="E16" i="4"/>
  <c r="F16" i="4" s="1"/>
  <c r="E17" i="4"/>
  <c r="F17" i="4" s="1"/>
  <c r="E18" i="4"/>
  <c r="F18" i="4" s="1"/>
  <c r="E19" i="4"/>
  <c r="F19" i="4" s="1"/>
  <c r="E20" i="4"/>
  <c r="F20" i="4" s="1"/>
  <c r="E21" i="4"/>
  <c r="F21" i="4" s="1"/>
  <c r="E22" i="4"/>
  <c r="F22" i="4" s="1"/>
  <c r="E23" i="4"/>
  <c r="F23" i="4" s="1"/>
  <c r="E24" i="4"/>
  <c r="F24" i="4" s="1"/>
  <c r="E25" i="4"/>
  <c r="F25" i="4" s="1"/>
  <c r="E26" i="4"/>
  <c r="F26" i="4" s="1"/>
  <c r="E27" i="4"/>
  <c r="F27" i="4" s="1"/>
  <c r="E28" i="4"/>
  <c r="F28" i="4" s="1"/>
  <c r="E29" i="4"/>
  <c r="F29" i="4" s="1"/>
  <c r="E30" i="4"/>
  <c r="F30" i="4" s="1"/>
  <c r="E31" i="4"/>
  <c r="F31" i="4" s="1"/>
  <c r="E32" i="4"/>
  <c r="F32" i="4" s="1"/>
  <c r="F9" i="5"/>
  <c r="F10" i="5"/>
  <c r="F11" i="5"/>
  <c r="G11" i="5" s="1"/>
  <c r="F12" i="5"/>
  <c r="G12" i="5" s="1"/>
  <c r="F13" i="5"/>
  <c r="G13" i="5" s="1"/>
  <c r="F14" i="5"/>
  <c r="G14" i="5" s="1"/>
  <c r="F15" i="5"/>
  <c r="G15" i="5" s="1"/>
  <c r="F16" i="5"/>
  <c r="G16" i="5" s="1"/>
  <c r="F17" i="5"/>
  <c r="G17" i="5" s="1"/>
  <c r="F18" i="5"/>
  <c r="G18" i="5" s="1"/>
  <c r="F19" i="5"/>
  <c r="G19" i="5" s="1"/>
  <c r="F20" i="5"/>
  <c r="G20" i="5" s="1"/>
  <c r="F21" i="5"/>
  <c r="G21" i="5" s="1"/>
  <c r="F22" i="5"/>
  <c r="G22" i="5" s="1"/>
  <c r="F23" i="5"/>
  <c r="G23" i="5" s="1"/>
  <c r="F24" i="5"/>
  <c r="G24" i="5" s="1"/>
  <c r="F25" i="5"/>
  <c r="G25" i="5" s="1"/>
  <c r="F26" i="5"/>
  <c r="G26" i="5" s="1"/>
  <c r="F27" i="5"/>
  <c r="G27" i="5" s="1"/>
  <c r="F28" i="5"/>
  <c r="G28" i="5" s="1"/>
  <c r="F29" i="5"/>
  <c r="G29" i="5" s="1"/>
  <c r="F30" i="5"/>
  <c r="G30" i="5" s="1"/>
  <c r="F31" i="5"/>
  <c r="G31" i="5" s="1"/>
  <c r="A43" i="2"/>
  <c r="B42" i="2"/>
  <c r="C42" i="2" s="1"/>
  <c r="B42" i="3"/>
  <c r="C42" i="3" s="1"/>
  <c r="A43" i="3"/>
  <c r="A51" i="1"/>
  <c r="B50" i="1"/>
  <c r="J48" i="1"/>
  <c r="I49" i="1"/>
  <c r="C49" i="1"/>
  <c r="D49" i="1" s="1"/>
  <c r="F49" i="1"/>
  <c r="G49" i="1" s="1"/>
  <c r="H49" i="1"/>
  <c r="A44" i="2" l="1"/>
  <c r="B43" i="2"/>
  <c r="C43" i="2" s="1"/>
  <c r="A44" i="3"/>
  <c r="B43" i="3"/>
  <c r="C43" i="3" s="1"/>
  <c r="B51" i="1"/>
  <c r="A52" i="1"/>
  <c r="J49" i="1"/>
  <c r="C50" i="1"/>
  <c r="D50" i="1" s="1"/>
  <c r="H50" i="1"/>
  <c r="F50" i="1"/>
  <c r="G50" i="1" s="1"/>
  <c r="I50" i="1"/>
  <c r="A45" i="3" l="1"/>
  <c r="B44" i="3"/>
  <c r="C44" i="3" s="1"/>
  <c r="B44" i="2"/>
  <c r="C44" i="2" s="1"/>
  <c r="A45" i="2"/>
  <c r="J50" i="1"/>
  <c r="H51" i="1"/>
  <c r="I51" i="1"/>
  <c r="F51" i="1"/>
  <c r="G51" i="1" s="1"/>
  <c r="C51" i="1"/>
  <c r="D51" i="1" s="1"/>
  <c r="A53" i="1"/>
  <c r="B52" i="1"/>
  <c r="B45" i="2" l="1"/>
  <c r="C45" i="2" s="1"/>
  <c r="A46" i="2"/>
  <c r="B45" i="3"/>
  <c r="C45" i="3" s="1"/>
  <c r="A46" i="3"/>
  <c r="J51" i="1"/>
  <c r="F52" i="1"/>
  <c r="G52" i="1" s="1"/>
  <c r="C52" i="1"/>
  <c r="D52" i="1" s="1"/>
  <c r="I52" i="1"/>
  <c r="H52" i="1"/>
  <c r="A54" i="1"/>
  <c r="B53" i="1"/>
  <c r="B46" i="3" l="1"/>
  <c r="C46" i="3" s="1"/>
  <c r="A47" i="3"/>
  <c r="A47" i="2"/>
  <c r="B46" i="2"/>
  <c r="C46" i="2" s="1"/>
  <c r="I53" i="1"/>
  <c r="F53" i="1"/>
  <c r="G53" i="1" s="1"/>
  <c r="H53" i="1"/>
  <c r="C53" i="1"/>
  <c r="D53" i="1" s="1"/>
  <c r="J52" i="1"/>
  <c r="B54" i="1"/>
  <c r="A55" i="1"/>
  <c r="A48" i="2" l="1"/>
  <c r="B47" i="2"/>
  <c r="C47" i="2" s="1"/>
  <c r="A48" i="3"/>
  <c r="B47" i="3"/>
  <c r="C47" i="3" s="1"/>
  <c r="B55" i="1"/>
  <c r="A56" i="1"/>
  <c r="J53" i="1"/>
  <c r="C54" i="1"/>
  <c r="D54" i="1" s="1"/>
  <c r="H54" i="1"/>
  <c r="F54" i="1"/>
  <c r="G54" i="1" s="1"/>
  <c r="I54" i="1"/>
  <c r="A49" i="3" l="1"/>
  <c r="B48" i="3"/>
  <c r="C48" i="3" s="1"/>
  <c r="B48" i="2"/>
  <c r="C48" i="2" s="1"/>
  <c r="A49" i="2"/>
  <c r="J54" i="1"/>
  <c r="C55" i="1"/>
  <c r="D55" i="1" s="1"/>
  <c r="I55" i="1"/>
  <c r="F55" i="1"/>
  <c r="G55" i="1" s="1"/>
  <c r="H55" i="1"/>
  <c r="A57" i="1"/>
  <c r="B56" i="1"/>
  <c r="B49" i="2" l="1"/>
  <c r="C49" i="2" s="1"/>
  <c r="A50" i="2"/>
  <c r="B49" i="3"/>
  <c r="C49" i="3" s="1"/>
  <c r="A50" i="3"/>
  <c r="J55" i="1"/>
  <c r="F56" i="1"/>
  <c r="G56" i="1" s="1"/>
  <c r="H56" i="1"/>
  <c r="I56" i="1"/>
  <c r="C56" i="1"/>
  <c r="D56" i="1" s="1"/>
  <c r="A58" i="1"/>
  <c r="B57" i="1"/>
  <c r="B50" i="3" l="1"/>
  <c r="C50" i="3" s="1"/>
  <c r="A51" i="3"/>
  <c r="A51" i="2"/>
  <c r="B50" i="2"/>
  <c r="C50" i="2" s="1"/>
  <c r="J56" i="1"/>
  <c r="I57" i="1"/>
  <c r="C57" i="1"/>
  <c r="D57" i="1" s="1"/>
  <c r="H57" i="1"/>
  <c r="F57" i="1"/>
  <c r="G57" i="1" s="1"/>
  <c r="B58" i="1"/>
  <c r="A59" i="1"/>
  <c r="A52" i="2" l="1"/>
  <c r="B51" i="2"/>
  <c r="C51" i="2" s="1"/>
  <c r="A52" i="3"/>
  <c r="B51" i="3"/>
  <c r="C51" i="3" s="1"/>
  <c r="B59" i="1"/>
  <c r="A60" i="1"/>
  <c r="J57" i="1"/>
  <c r="C58" i="1"/>
  <c r="D58" i="1" s="1"/>
  <c r="H58" i="1"/>
  <c r="I58" i="1"/>
  <c r="F58" i="1"/>
  <c r="G58" i="1" s="1"/>
  <c r="A53" i="3" l="1"/>
  <c r="B52" i="3"/>
  <c r="C52" i="3" s="1"/>
  <c r="B52" i="2"/>
  <c r="C52" i="2" s="1"/>
  <c r="A53" i="2"/>
  <c r="J58" i="1"/>
  <c r="I59" i="1"/>
  <c r="C59" i="1"/>
  <c r="D59" i="1" s="1"/>
  <c r="H59" i="1"/>
  <c r="F59" i="1"/>
  <c r="G59" i="1" s="1"/>
  <c r="B60" i="1"/>
  <c r="A61" i="1"/>
  <c r="B53" i="2" l="1"/>
  <c r="C53" i="2" s="1"/>
  <c r="A54" i="2"/>
  <c r="B53" i="3"/>
  <c r="C53" i="3" s="1"/>
  <c r="A54" i="3"/>
  <c r="B61" i="1"/>
  <c r="A62" i="1"/>
  <c r="C60" i="1"/>
  <c r="D60" i="1" s="1"/>
  <c r="H60" i="1"/>
  <c r="F60" i="1"/>
  <c r="G60" i="1" s="1"/>
  <c r="I60" i="1"/>
  <c r="J59" i="1"/>
  <c r="B54" i="3" l="1"/>
  <c r="C54" i="3" s="1"/>
  <c r="A55" i="3"/>
  <c r="A55" i="2"/>
  <c r="B54" i="2"/>
  <c r="C54" i="2" s="1"/>
  <c r="I61" i="1"/>
  <c r="H61" i="1"/>
  <c r="F61" i="1"/>
  <c r="G61" i="1" s="1"/>
  <c r="C61" i="1"/>
  <c r="D61" i="1" s="1"/>
  <c r="J60" i="1"/>
  <c r="A63" i="1"/>
  <c r="B62" i="1"/>
  <c r="A56" i="2" l="1"/>
  <c r="B55" i="2"/>
  <c r="C55" i="2" s="1"/>
  <c r="A56" i="3"/>
  <c r="B55" i="3"/>
  <c r="C55" i="3" s="1"/>
  <c r="F62" i="1"/>
  <c r="G62" i="1" s="1"/>
  <c r="C62" i="1"/>
  <c r="D62" i="1" s="1"/>
  <c r="H62" i="1"/>
  <c r="I62" i="1"/>
  <c r="J61" i="1"/>
  <c r="B63" i="1"/>
  <c r="A64" i="1"/>
  <c r="A57" i="3" l="1"/>
  <c r="B56" i="3"/>
  <c r="C56" i="3" s="1"/>
  <c r="B56" i="2"/>
  <c r="C56" i="2" s="1"/>
  <c r="A57" i="2"/>
  <c r="B64" i="1"/>
  <c r="A65" i="1"/>
  <c r="I63" i="1"/>
  <c r="F63" i="1"/>
  <c r="G63" i="1" s="1"/>
  <c r="H63" i="1"/>
  <c r="C63" i="1"/>
  <c r="D63" i="1" s="1"/>
  <c r="J62" i="1"/>
  <c r="B57" i="2" l="1"/>
  <c r="C57" i="2" s="1"/>
  <c r="A58" i="2"/>
  <c r="B57" i="3"/>
  <c r="C57" i="3" s="1"/>
  <c r="A58" i="3"/>
  <c r="J63" i="1"/>
  <c r="B65" i="1"/>
  <c r="A66" i="1"/>
  <c r="C64" i="1"/>
  <c r="D64" i="1" s="1"/>
  <c r="H64" i="1"/>
  <c r="F64" i="1"/>
  <c r="G64" i="1" s="1"/>
  <c r="I64" i="1"/>
  <c r="B58" i="3" l="1"/>
  <c r="C58" i="3" s="1"/>
  <c r="A59" i="3"/>
  <c r="A59" i="2"/>
  <c r="B58" i="2"/>
  <c r="C58" i="2" s="1"/>
  <c r="J64" i="1"/>
  <c r="B66" i="1"/>
  <c r="A67" i="1"/>
  <c r="I65" i="1"/>
  <c r="C65" i="1"/>
  <c r="D65" i="1" s="1"/>
  <c r="F65" i="1"/>
  <c r="G65" i="1" s="1"/>
  <c r="H65" i="1"/>
  <c r="A60" i="2" l="1"/>
  <c r="B59" i="2"/>
  <c r="C59" i="2" s="1"/>
  <c r="A60" i="3"/>
  <c r="B59" i="3"/>
  <c r="C59" i="3" s="1"/>
  <c r="J65" i="1"/>
  <c r="B67" i="1"/>
  <c r="A68" i="1"/>
  <c r="F66" i="1"/>
  <c r="G66" i="1" s="1"/>
  <c r="C66" i="1"/>
  <c r="D66" i="1" s="1"/>
  <c r="H66" i="1"/>
  <c r="I66" i="1"/>
  <c r="A61" i="3" l="1"/>
  <c r="B60" i="3"/>
  <c r="C60" i="3" s="1"/>
  <c r="B60" i="2"/>
  <c r="C60" i="2" s="1"/>
  <c r="A61" i="2"/>
  <c r="J66" i="1"/>
  <c r="I67" i="1"/>
  <c r="C67" i="1"/>
  <c r="D67" i="1" s="1"/>
  <c r="H67" i="1"/>
  <c r="F67" i="1"/>
  <c r="G67" i="1" s="1"/>
  <c r="B68" i="1"/>
  <c r="A69" i="1"/>
  <c r="B61" i="2" l="1"/>
  <c r="C61" i="2" s="1"/>
  <c r="A62" i="2"/>
  <c r="B61" i="3"/>
  <c r="C61" i="3" s="1"/>
  <c r="A62" i="3"/>
  <c r="B69" i="1"/>
  <c r="A70" i="1"/>
  <c r="C68" i="1"/>
  <c r="D68" i="1" s="1"/>
  <c r="H68" i="1"/>
  <c r="F68" i="1"/>
  <c r="G68" i="1" s="1"/>
  <c r="I68" i="1"/>
  <c r="J67" i="1"/>
  <c r="B62" i="3" l="1"/>
  <c r="C62" i="3" s="1"/>
  <c r="A63" i="3"/>
  <c r="A63" i="2"/>
  <c r="B62" i="2"/>
  <c r="C62" i="2" s="1"/>
  <c r="I69" i="1"/>
  <c r="H69" i="1"/>
  <c r="F69" i="1"/>
  <c r="G69" i="1" s="1"/>
  <c r="C69" i="1"/>
  <c r="D69" i="1" s="1"/>
  <c r="J68" i="1"/>
  <c r="B70" i="1"/>
  <c r="A71" i="1"/>
  <c r="A64" i="2" l="1"/>
  <c r="B63" i="2"/>
  <c r="C63" i="2" s="1"/>
  <c r="A64" i="3"/>
  <c r="B63" i="3"/>
  <c r="C63" i="3" s="1"/>
  <c r="B71" i="1"/>
  <c r="A72" i="1"/>
  <c r="J69" i="1"/>
  <c r="F70" i="1"/>
  <c r="G70" i="1" s="1"/>
  <c r="C70" i="1"/>
  <c r="D70" i="1" s="1"/>
  <c r="H70" i="1"/>
  <c r="I70" i="1"/>
  <c r="A65" i="3" l="1"/>
  <c r="B64" i="3"/>
  <c r="C64" i="3" s="1"/>
  <c r="B64" i="2"/>
  <c r="C64" i="2" s="1"/>
  <c r="A65" i="2"/>
  <c r="I71" i="1"/>
  <c r="F71" i="1"/>
  <c r="G71" i="1" s="1"/>
  <c r="H71" i="1"/>
  <c r="C71" i="1"/>
  <c r="D71" i="1" s="1"/>
  <c r="J70" i="1"/>
  <c r="A73" i="1"/>
  <c r="B72" i="1"/>
  <c r="B65" i="2" l="1"/>
  <c r="C65" i="2" s="1"/>
  <c r="A66" i="2"/>
  <c r="B65" i="3"/>
  <c r="C65" i="3" s="1"/>
  <c r="A66" i="3"/>
  <c r="C72" i="1"/>
  <c r="D72" i="1" s="1"/>
  <c r="H72" i="1"/>
  <c r="F72" i="1"/>
  <c r="G72" i="1" s="1"/>
  <c r="I72" i="1"/>
  <c r="J71" i="1"/>
  <c r="B73" i="1"/>
  <c r="A74" i="1"/>
  <c r="B66" i="3" l="1"/>
  <c r="C66" i="3" s="1"/>
  <c r="A67" i="3"/>
  <c r="A67" i="2"/>
  <c r="B66" i="2"/>
  <c r="C66" i="2" s="1"/>
  <c r="J72" i="1"/>
  <c r="B74" i="1"/>
  <c r="A75" i="1"/>
  <c r="C73" i="1"/>
  <c r="D73" i="1" s="1"/>
  <c r="I73" i="1"/>
  <c r="F73" i="1"/>
  <c r="G73" i="1" s="1"/>
  <c r="H73" i="1"/>
  <c r="A68" i="2" l="1"/>
  <c r="B67" i="2"/>
  <c r="C67" i="2" s="1"/>
  <c r="A68" i="3"/>
  <c r="B67" i="3"/>
  <c r="C67" i="3" s="1"/>
  <c r="C74" i="1"/>
  <c r="D74" i="1" s="1"/>
  <c r="H74" i="1"/>
  <c r="I74" i="1"/>
  <c r="F74" i="1"/>
  <c r="G74" i="1" s="1"/>
  <c r="J73" i="1"/>
  <c r="B75" i="1"/>
  <c r="A76" i="1"/>
  <c r="A69" i="3" l="1"/>
  <c r="B68" i="3"/>
  <c r="C68" i="3" s="1"/>
  <c r="B68" i="2"/>
  <c r="C68" i="2" s="1"/>
  <c r="A69" i="2"/>
  <c r="J74" i="1"/>
  <c r="B76" i="1"/>
  <c r="A77" i="1"/>
  <c r="C75" i="1"/>
  <c r="D75" i="1" s="1"/>
  <c r="H75" i="1"/>
  <c r="F75" i="1"/>
  <c r="G75" i="1" s="1"/>
  <c r="I75" i="1"/>
  <c r="B69" i="2" l="1"/>
  <c r="C69" i="2" s="1"/>
  <c r="A70" i="2"/>
  <c r="B69" i="3"/>
  <c r="C69" i="3" s="1"/>
  <c r="A70" i="3"/>
  <c r="J75" i="1"/>
  <c r="B77" i="1"/>
  <c r="A78" i="1"/>
  <c r="F76" i="1"/>
  <c r="G76" i="1" s="1"/>
  <c r="I76" i="1"/>
  <c r="C76" i="1"/>
  <c r="D76" i="1" s="1"/>
  <c r="H76" i="1"/>
  <c r="B70" i="3" l="1"/>
  <c r="C70" i="3" s="1"/>
  <c r="A71" i="3"/>
  <c r="A71" i="2"/>
  <c r="B70" i="2"/>
  <c r="C70" i="2" s="1"/>
  <c r="B78" i="1"/>
  <c r="A79" i="1"/>
  <c r="J76" i="1"/>
  <c r="I77" i="1"/>
  <c r="F77" i="1"/>
  <c r="G77" i="1" s="1"/>
  <c r="H77" i="1"/>
  <c r="C77" i="1"/>
  <c r="D77" i="1" s="1"/>
  <c r="A72" i="2" l="1"/>
  <c r="B71" i="2"/>
  <c r="C71" i="2" s="1"/>
  <c r="A72" i="3"/>
  <c r="B71" i="3"/>
  <c r="C71" i="3" s="1"/>
  <c r="C78" i="1"/>
  <c r="D78" i="1" s="1"/>
  <c r="H78" i="1"/>
  <c r="I78" i="1"/>
  <c r="F78" i="1"/>
  <c r="G78" i="1" s="1"/>
  <c r="J77" i="1"/>
  <c r="B79" i="1"/>
  <c r="A80" i="1"/>
  <c r="A73" i="3" l="1"/>
  <c r="B72" i="3"/>
  <c r="C72" i="3" s="1"/>
  <c r="B72" i="2"/>
  <c r="C72" i="2" s="1"/>
  <c r="A73" i="2"/>
  <c r="J78" i="1"/>
  <c r="B80" i="1"/>
  <c r="A81" i="1"/>
  <c r="C79" i="1"/>
  <c r="D79" i="1" s="1"/>
  <c r="H79" i="1"/>
  <c r="F79" i="1"/>
  <c r="G79" i="1" s="1"/>
  <c r="I79" i="1"/>
  <c r="B73" i="2" l="1"/>
  <c r="C73" i="2" s="1"/>
  <c r="A74" i="2"/>
  <c r="B73" i="3"/>
  <c r="C73" i="3" s="1"/>
  <c r="A74" i="3"/>
  <c r="J79" i="1"/>
  <c r="B81" i="1"/>
  <c r="A82" i="1"/>
  <c r="F80" i="1"/>
  <c r="G80" i="1" s="1"/>
  <c r="I80" i="1"/>
  <c r="H80" i="1"/>
  <c r="C80" i="1"/>
  <c r="D80" i="1" s="1"/>
  <c r="B74" i="3" l="1"/>
  <c r="C74" i="3" s="1"/>
  <c r="A75" i="3"/>
  <c r="A75" i="2"/>
  <c r="B74" i="2"/>
  <c r="C74" i="2" s="1"/>
  <c r="J80" i="1"/>
  <c r="B82" i="1"/>
  <c r="A83" i="1"/>
  <c r="I81" i="1"/>
  <c r="F81" i="1"/>
  <c r="G81" i="1" s="1"/>
  <c r="C81" i="1"/>
  <c r="D81" i="1" s="1"/>
  <c r="H81" i="1"/>
  <c r="A76" i="2" l="1"/>
  <c r="B75" i="2"/>
  <c r="C75" i="2" s="1"/>
  <c r="A76" i="3"/>
  <c r="B75" i="3"/>
  <c r="C75" i="3" s="1"/>
  <c r="J81" i="1"/>
  <c r="B83" i="1"/>
  <c r="A84" i="1"/>
  <c r="C82" i="1"/>
  <c r="D82" i="1" s="1"/>
  <c r="H82" i="1"/>
  <c r="I82" i="1"/>
  <c r="F82" i="1"/>
  <c r="G82" i="1" s="1"/>
  <c r="A77" i="3" l="1"/>
  <c r="B76" i="3"/>
  <c r="C76" i="3" s="1"/>
  <c r="B76" i="2"/>
  <c r="C76" i="2" s="1"/>
  <c r="A77" i="2"/>
  <c r="J82" i="1"/>
  <c r="B84" i="1"/>
  <c r="A85" i="1"/>
  <c r="C83" i="1"/>
  <c r="D83" i="1" s="1"/>
  <c r="H83" i="1"/>
  <c r="F83" i="1"/>
  <c r="G83" i="1" s="1"/>
  <c r="I83" i="1"/>
  <c r="B77" i="2" l="1"/>
  <c r="C77" i="2" s="1"/>
  <c r="A78" i="2"/>
  <c r="B77" i="3"/>
  <c r="C77" i="3" s="1"/>
  <c r="A78" i="3"/>
  <c r="J83" i="1"/>
  <c r="A86" i="1"/>
  <c r="B85" i="1"/>
  <c r="F84" i="1"/>
  <c r="G84" i="1" s="1"/>
  <c r="I84" i="1"/>
  <c r="C84" i="1"/>
  <c r="D84" i="1" s="1"/>
  <c r="H84" i="1"/>
  <c r="B78" i="3" l="1"/>
  <c r="C78" i="3" s="1"/>
  <c r="A79" i="3"/>
  <c r="A79" i="2"/>
  <c r="B78" i="2"/>
  <c r="C78" i="2" s="1"/>
  <c r="I85" i="1"/>
  <c r="F85" i="1"/>
  <c r="G85" i="1" s="1"/>
  <c r="H85" i="1"/>
  <c r="C85" i="1"/>
  <c r="D85" i="1" s="1"/>
  <c r="J84" i="1"/>
  <c r="B86" i="1"/>
  <c r="A87" i="1"/>
  <c r="A80" i="2" l="1"/>
  <c r="B79" i="2"/>
  <c r="C79" i="2" s="1"/>
  <c r="A80" i="3"/>
  <c r="B79" i="3"/>
  <c r="C79" i="3" s="1"/>
  <c r="J85" i="1"/>
  <c r="B87" i="1"/>
  <c r="A88" i="1"/>
  <c r="C86" i="1"/>
  <c r="D86" i="1" s="1"/>
  <c r="H86" i="1"/>
  <c r="I86" i="1"/>
  <c r="F86" i="1"/>
  <c r="G86" i="1" s="1"/>
  <c r="A81" i="3" l="1"/>
  <c r="B80" i="3"/>
  <c r="C80" i="3" s="1"/>
  <c r="B80" i="2"/>
  <c r="C80" i="2" s="1"/>
  <c r="A81" i="2"/>
  <c r="J86" i="1"/>
  <c r="B88" i="1"/>
  <c r="A89" i="1"/>
  <c r="C87" i="1"/>
  <c r="D87" i="1" s="1"/>
  <c r="H87" i="1"/>
  <c r="F87" i="1"/>
  <c r="G87" i="1" s="1"/>
  <c r="I87" i="1"/>
  <c r="B81" i="2" l="1"/>
  <c r="C81" i="2" s="1"/>
  <c r="A82" i="2"/>
  <c r="B81" i="3"/>
  <c r="C81" i="3" s="1"/>
  <c r="A82" i="3"/>
  <c r="J87" i="1"/>
  <c r="A90" i="1"/>
  <c r="B89" i="1"/>
  <c r="F88" i="1"/>
  <c r="G88" i="1" s="1"/>
  <c r="I88" i="1"/>
  <c r="C88" i="1"/>
  <c r="D88" i="1" s="1"/>
  <c r="H88" i="1"/>
  <c r="B82" i="3" l="1"/>
  <c r="C82" i="3" s="1"/>
  <c r="A83" i="3"/>
  <c r="A83" i="2"/>
  <c r="B82" i="2"/>
  <c r="C82" i="2" s="1"/>
  <c r="F89" i="1"/>
  <c r="G89" i="1" s="1"/>
  <c r="C89" i="1"/>
  <c r="D89" i="1" s="1"/>
  <c r="I89" i="1"/>
  <c r="H89" i="1"/>
  <c r="J88" i="1"/>
  <c r="A91" i="1"/>
  <c r="B90" i="1"/>
  <c r="A84" i="2" l="1"/>
  <c r="B83" i="2"/>
  <c r="C83" i="2" s="1"/>
  <c r="A84" i="3"/>
  <c r="B83" i="3"/>
  <c r="C83" i="3" s="1"/>
  <c r="I90" i="1"/>
  <c r="F90" i="1"/>
  <c r="G90" i="1" s="1"/>
  <c r="H90" i="1"/>
  <c r="C90" i="1"/>
  <c r="D90" i="1" s="1"/>
  <c r="A92" i="1"/>
  <c r="B91" i="1"/>
  <c r="J89" i="1"/>
  <c r="A85" i="3" l="1"/>
  <c r="B84" i="3"/>
  <c r="C84" i="3" s="1"/>
  <c r="B84" i="2"/>
  <c r="C84" i="2" s="1"/>
  <c r="A85" i="2"/>
  <c r="J90" i="1"/>
  <c r="C91" i="1"/>
  <c r="D91" i="1" s="1"/>
  <c r="H91" i="1"/>
  <c r="I91" i="1"/>
  <c r="F91" i="1"/>
  <c r="G91" i="1" s="1"/>
  <c r="B92" i="1"/>
  <c r="A93" i="1"/>
  <c r="B85" i="2" l="1"/>
  <c r="C85" i="2" s="1"/>
  <c r="A86" i="2"/>
  <c r="B85" i="3"/>
  <c r="C85" i="3" s="1"/>
  <c r="A86" i="3"/>
  <c r="A94" i="1"/>
  <c r="B93" i="1"/>
  <c r="C92" i="1"/>
  <c r="D92" i="1" s="1"/>
  <c r="I92" i="1"/>
  <c r="F92" i="1"/>
  <c r="G92" i="1" s="1"/>
  <c r="H92" i="1"/>
  <c r="J91" i="1"/>
  <c r="A87" i="3" l="1"/>
  <c r="B86" i="3"/>
  <c r="C86" i="3" s="1"/>
  <c r="A87" i="2"/>
  <c r="B86" i="2"/>
  <c r="C86" i="2" s="1"/>
  <c r="J92" i="1"/>
  <c r="F93" i="1"/>
  <c r="G93" i="1" s="1"/>
  <c r="H93" i="1"/>
  <c r="C93" i="1"/>
  <c r="D93" i="1" s="1"/>
  <c r="I93" i="1"/>
  <c r="B94" i="1"/>
  <c r="A95" i="1"/>
  <c r="A88" i="2" l="1"/>
  <c r="B87" i="2"/>
  <c r="C87" i="2" s="1"/>
  <c r="A88" i="3"/>
  <c r="B87" i="3"/>
  <c r="C87" i="3" s="1"/>
  <c r="B95" i="1"/>
  <c r="A96" i="1"/>
  <c r="J93" i="1"/>
  <c r="I94" i="1"/>
  <c r="C94" i="1"/>
  <c r="D94" i="1" s="1"/>
  <c r="F94" i="1"/>
  <c r="G94" i="1" s="1"/>
  <c r="H94" i="1"/>
  <c r="B88" i="3" l="1"/>
  <c r="C88" i="3" s="1"/>
  <c r="A89" i="3"/>
  <c r="B88" i="2"/>
  <c r="C88" i="2" s="1"/>
  <c r="A89" i="2"/>
  <c r="C95" i="1"/>
  <c r="D95" i="1" s="1"/>
  <c r="H95" i="1"/>
  <c r="I95" i="1"/>
  <c r="F95" i="1"/>
  <c r="G95" i="1" s="1"/>
  <c r="J94" i="1"/>
  <c r="B96" i="1"/>
  <c r="A97" i="1"/>
  <c r="B89" i="2" l="1"/>
  <c r="C89" i="2" s="1"/>
  <c r="A90" i="2"/>
  <c r="A90" i="3"/>
  <c r="B89" i="3"/>
  <c r="C89" i="3" s="1"/>
  <c r="J95" i="1"/>
  <c r="A98" i="1"/>
  <c r="B97" i="1"/>
  <c r="H96" i="1"/>
  <c r="F96" i="1"/>
  <c r="G96" i="1" s="1"/>
  <c r="C96" i="1"/>
  <c r="D96" i="1" s="1"/>
  <c r="I96" i="1"/>
  <c r="A91" i="3" l="1"/>
  <c r="B90" i="3"/>
  <c r="C90" i="3" s="1"/>
  <c r="A91" i="2"/>
  <c r="B90" i="2"/>
  <c r="C90" i="2" s="1"/>
  <c r="F97" i="1"/>
  <c r="G97" i="1" s="1"/>
  <c r="C97" i="1"/>
  <c r="D97" i="1" s="1"/>
  <c r="I97" i="1"/>
  <c r="H97" i="1"/>
  <c r="J96" i="1"/>
  <c r="B98" i="1"/>
  <c r="A99" i="1"/>
  <c r="A92" i="2" l="1"/>
  <c r="B91" i="2"/>
  <c r="C91" i="2" s="1"/>
  <c r="B91" i="3"/>
  <c r="C91" i="3" s="1"/>
  <c r="A92" i="3"/>
  <c r="A100" i="1"/>
  <c r="B99" i="1"/>
  <c r="I98" i="1"/>
  <c r="H98" i="1"/>
  <c r="F98" i="1"/>
  <c r="G98" i="1" s="1"/>
  <c r="C98" i="1"/>
  <c r="D98" i="1" s="1"/>
  <c r="J97" i="1"/>
  <c r="B92" i="3" l="1"/>
  <c r="C92" i="3" s="1"/>
  <c r="A93" i="3"/>
  <c r="B92" i="2"/>
  <c r="C92" i="2" s="1"/>
  <c r="A93" i="2"/>
  <c r="J98" i="1"/>
  <c r="C99" i="1"/>
  <c r="D99" i="1" s="1"/>
  <c r="H99" i="1"/>
  <c r="F99" i="1"/>
  <c r="G99" i="1" s="1"/>
  <c r="I99" i="1"/>
  <c r="B100" i="1"/>
  <c r="A101" i="1"/>
  <c r="B93" i="2" l="1"/>
  <c r="C93" i="2" s="1"/>
  <c r="A94" i="2"/>
  <c r="A94" i="3"/>
  <c r="B93" i="3"/>
  <c r="C93" i="3" s="1"/>
  <c r="B101" i="1"/>
  <c r="A102" i="1"/>
  <c r="F100" i="1"/>
  <c r="G100" i="1" s="1"/>
  <c r="C100" i="1"/>
  <c r="D100" i="1" s="1"/>
  <c r="I100" i="1"/>
  <c r="H100" i="1"/>
  <c r="J99" i="1"/>
  <c r="A95" i="3" l="1"/>
  <c r="B94" i="3"/>
  <c r="C94" i="3" s="1"/>
  <c r="A95" i="2"/>
  <c r="B94" i="2"/>
  <c r="C94" i="2" s="1"/>
  <c r="J100" i="1"/>
  <c r="A103" i="1"/>
  <c r="B102" i="1"/>
  <c r="F101" i="1"/>
  <c r="G101" i="1" s="1"/>
  <c r="H101" i="1"/>
  <c r="C101" i="1"/>
  <c r="D101" i="1" s="1"/>
  <c r="I101" i="1"/>
  <c r="A96" i="2" l="1"/>
  <c r="B95" i="2"/>
  <c r="C95" i="2" s="1"/>
  <c r="B95" i="3"/>
  <c r="C95" i="3" s="1"/>
  <c r="A96" i="3"/>
  <c r="I102" i="1"/>
  <c r="C102" i="1"/>
  <c r="D102" i="1" s="1"/>
  <c r="F102" i="1"/>
  <c r="G102" i="1" s="1"/>
  <c r="H102" i="1"/>
  <c r="J101" i="1"/>
  <c r="A104" i="1"/>
  <c r="B103" i="1"/>
  <c r="B96" i="3" l="1"/>
  <c r="C96" i="3" s="1"/>
  <c r="A97" i="3"/>
  <c r="B96" i="2"/>
  <c r="C96" i="2" s="1"/>
  <c r="A97" i="2"/>
  <c r="C103" i="1"/>
  <c r="D103" i="1" s="1"/>
  <c r="H103" i="1"/>
  <c r="F103" i="1"/>
  <c r="G103" i="1" s="1"/>
  <c r="I103" i="1"/>
  <c r="B104" i="1"/>
  <c r="A105" i="1"/>
  <c r="J102" i="1"/>
  <c r="B97" i="2" l="1"/>
  <c r="C97" i="2" s="1"/>
  <c r="A98" i="2"/>
  <c r="A98" i="3"/>
  <c r="B97" i="3"/>
  <c r="C97" i="3" s="1"/>
  <c r="J103" i="1"/>
  <c r="H104" i="1"/>
  <c r="I104" i="1"/>
  <c r="C104" i="1"/>
  <c r="D104" i="1" s="1"/>
  <c r="F104" i="1"/>
  <c r="G104" i="1" s="1"/>
  <c r="A106" i="1"/>
  <c r="B105" i="1"/>
  <c r="A99" i="3" l="1"/>
  <c r="B98" i="3"/>
  <c r="C98" i="3" s="1"/>
  <c r="A99" i="2"/>
  <c r="B98" i="2"/>
  <c r="C98" i="2" s="1"/>
  <c r="F105" i="1"/>
  <c r="G105" i="1" s="1"/>
  <c r="C105" i="1"/>
  <c r="D105" i="1" s="1"/>
  <c r="I105" i="1"/>
  <c r="H105" i="1"/>
  <c r="J104" i="1"/>
  <c r="A107" i="1"/>
  <c r="B106" i="1"/>
  <c r="A100" i="2" l="1"/>
  <c r="B99" i="2"/>
  <c r="C99" i="2" s="1"/>
  <c r="B99" i="3"/>
  <c r="C99" i="3" s="1"/>
  <c r="A100" i="3"/>
  <c r="I106" i="1"/>
  <c r="F106" i="1"/>
  <c r="G106" i="1" s="1"/>
  <c r="H106" i="1"/>
  <c r="C106" i="1"/>
  <c r="D106" i="1" s="1"/>
  <c r="B107" i="1"/>
  <c r="A108" i="1"/>
  <c r="J105" i="1"/>
  <c r="A101" i="3" l="1"/>
  <c r="B100" i="3"/>
  <c r="C100" i="3" s="1"/>
  <c r="B100" i="2"/>
  <c r="C100" i="2" s="1"/>
  <c r="A101" i="2"/>
  <c r="J106" i="1"/>
  <c r="B108" i="1"/>
  <c r="A109" i="1"/>
  <c r="C107" i="1"/>
  <c r="D107" i="1" s="1"/>
  <c r="H107" i="1"/>
  <c r="F107" i="1"/>
  <c r="G107" i="1" s="1"/>
  <c r="I107" i="1"/>
  <c r="B101" i="2" l="1"/>
  <c r="C101" i="2" s="1"/>
  <c r="A102" i="2"/>
  <c r="A102" i="3"/>
  <c r="B101" i="3"/>
  <c r="C101" i="3" s="1"/>
  <c r="J107" i="1"/>
  <c r="A110" i="1"/>
  <c r="B109" i="1"/>
  <c r="C108" i="1"/>
  <c r="D108" i="1" s="1"/>
  <c r="I108" i="1"/>
  <c r="F108" i="1"/>
  <c r="G108" i="1" s="1"/>
  <c r="H108" i="1"/>
  <c r="B102" i="3" l="1"/>
  <c r="C102" i="3" s="1"/>
  <c r="A103" i="3"/>
  <c r="A103" i="2"/>
  <c r="B102" i="2"/>
  <c r="C102" i="2" s="1"/>
  <c r="J108" i="1"/>
  <c r="F109" i="1"/>
  <c r="G109" i="1" s="1"/>
  <c r="H109" i="1"/>
  <c r="I109" i="1"/>
  <c r="C109" i="1"/>
  <c r="D109" i="1" s="1"/>
  <c r="A111" i="1"/>
  <c r="B110" i="1"/>
  <c r="A104" i="2" l="1"/>
  <c r="B103" i="2"/>
  <c r="C103" i="2" s="1"/>
  <c r="B103" i="3"/>
  <c r="C103" i="3" s="1"/>
  <c r="A104" i="3"/>
  <c r="J109" i="1"/>
  <c r="I110" i="1"/>
  <c r="C110" i="1"/>
  <c r="D110" i="1" s="1"/>
  <c r="H110" i="1"/>
  <c r="F110" i="1"/>
  <c r="G110" i="1" s="1"/>
  <c r="B111" i="1"/>
  <c r="A112" i="1"/>
  <c r="A105" i="3" l="1"/>
  <c r="B104" i="3"/>
  <c r="C104" i="3" s="1"/>
  <c r="B104" i="2"/>
  <c r="C104" i="2" s="1"/>
  <c r="A105" i="2"/>
  <c r="C111" i="1"/>
  <c r="D111" i="1" s="1"/>
  <c r="H111" i="1"/>
  <c r="F111" i="1"/>
  <c r="G111" i="1" s="1"/>
  <c r="I111" i="1"/>
  <c r="B112" i="1"/>
  <c r="A113" i="1"/>
  <c r="J110" i="1"/>
  <c r="B105" i="2" l="1"/>
  <c r="C105" i="2" s="1"/>
  <c r="A106" i="2"/>
  <c r="A106" i="3"/>
  <c r="B105" i="3"/>
  <c r="C105" i="3" s="1"/>
  <c r="J111" i="1"/>
  <c r="H112" i="1"/>
  <c r="F112" i="1"/>
  <c r="G112" i="1" s="1"/>
  <c r="I112" i="1"/>
  <c r="C112" i="1"/>
  <c r="D112" i="1" s="1"/>
  <c r="B113" i="1"/>
  <c r="A114" i="1"/>
  <c r="B106" i="3" l="1"/>
  <c r="C106" i="3" s="1"/>
  <c r="A107" i="3"/>
  <c r="A107" i="2"/>
  <c r="B106" i="2"/>
  <c r="C106" i="2" s="1"/>
  <c r="J112" i="1"/>
  <c r="A115" i="1"/>
  <c r="B114" i="1"/>
  <c r="F113" i="1"/>
  <c r="G113" i="1" s="1"/>
  <c r="C113" i="1"/>
  <c r="D113" i="1" s="1"/>
  <c r="I113" i="1"/>
  <c r="H113" i="1"/>
  <c r="A108" i="2" l="1"/>
  <c r="B107" i="2"/>
  <c r="C107" i="2" s="1"/>
  <c r="B107" i="3"/>
  <c r="C107" i="3" s="1"/>
  <c r="A108" i="3"/>
  <c r="I114" i="1"/>
  <c r="F114" i="1"/>
  <c r="G114" i="1" s="1"/>
  <c r="C114" i="1"/>
  <c r="D114" i="1" s="1"/>
  <c r="H114" i="1"/>
  <c r="J113" i="1"/>
  <c r="B115" i="1"/>
  <c r="A116" i="1"/>
  <c r="A109" i="3" l="1"/>
  <c r="B108" i="3"/>
  <c r="C108" i="3" s="1"/>
  <c r="B108" i="2"/>
  <c r="C108" i="2" s="1"/>
  <c r="A109" i="2"/>
  <c r="B116" i="1"/>
  <c r="A117" i="1"/>
  <c r="J114" i="1"/>
  <c r="C115" i="1"/>
  <c r="D115" i="1" s="1"/>
  <c r="H115" i="1"/>
  <c r="I115" i="1"/>
  <c r="F115" i="1"/>
  <c r="G115" i="1" s="1"/>
  <c r="B109" i="2" l="1"/>
  <c r="C109" i="2" s="1"/>
  <c r="A110" i="2"/>
  <c r="A110" i="3"/>
  <c r="B109" i="3"/>
  <c r="C109" i="3" s="1"/>
  <c r="J115" i="1"/>
  <c r="C116" i="1"/>
  <c r="D116" i="1" s="1"/>
  <c r="I116" i="1"/>
  <c r="F116" i="1"/>
  <c r="G116" i="1" s="1"/>
  <c r="H116" i="1"/>
  <c r="A118" i="1"/>
  <c r="B117" i="1"/>
  <c r="B110" i="3" l="1"/>
  <c r="C110" i="3" s="1"/>
  <c r="A111" i="3"/>
  <c r="A111" i="2"/>
  <c r="B110" i="2"/>
  <c r="C110" i="2" s="1"/>
  <c r="J116" i="1"/>
  <c r="F117" i="1"/>
  <c r="G117" i="1" s="1"/>
  <c r="C117" i="1"/>
  <c r="D117" i="1" s="1"/>
  <c r="I117" i="1"/>
  <c r="H117" i="1"/>
  <c r="A119" i="1"/>
  <c r="B118" i="1"/>
  <c r="A112" i="2" l="1"/>
  <c r="B111" i="2"/>
  <c r="C111" i="2" s="1"/>
  <c r="B111" i="3"/>
  <c r="C111" i="3" s="1"/>
  <c r="A112" i="3"/>
  <c r="B119" i="1"/>
  <c r="A120" i="1"/>
  <c r="I118" i="1"/>
  <c r="F118" i="1"/>
  <c r="G118" i="1" s="1"/>
  <c r="C118" i="1"/>
  <c r="D118" i="1" s="1"/>
  <c r="H118" i="1"/>
  <c r="J117" i="1"/>
  <c r="A113" i="3" l="1"/>
  <c r="B112" i="3"/>
  <c r="C112" i="3" s="1"/>
  <c r="B112" i="2"/>
  <c r="C112" i="2" s="1"/>
  <c r="A113" i="2"/>
  <c r="C119" i="1"/>
  <c r="D119" i="1" s="1"/>
  <c r="H119" i="1"/>
  <c r="F119" i="1"/>
  <c r="G119" i="1" s="1"/>
  <c r="I119" i="1"/>
  <c r="B120" i="1"/>
  <c r="A121" i="1"/>
  <c r="J118" i="1"/>
  <c r="B113" i="2" l="1"/>
  <c r="C113" i="2" s="1"/>
  <c r="A114" i="2"/>
  <c r="A114" i="3"/>
  <c r="B113" i="3"/>
  <c r="C113" i="3" s="1"/>
  <c r="J119" i="1"/>
  <c r="C120" i="1"/>
  <c r="D120" i="1" s="1"/>
  <c r="I120" i="1"/>
  <c r="F120" i="1"/>
  <c r="G120" i="1" s="1"/>
  <c r="H120" i="1"/>
  <c r="A122" i="1"/>
  <c r="B121" i="1"/>
  <c r="B114" i="3" l="1"/>
  <c r="C114" i="3" s="1"/>
  <c r="A115" i="3"/>
  <c r="A115" i="2"/>
  <c r="B114" i="2"/>
  <c r="C114" i="2" s="1"/>
  <c r="J120" i="1"/>
  <c r="F121" i="1"/>
  <c r="G121" i="1" s="1"/>
  <c r="C121" i="1"/>
  <c r="D121" i="1" s="1"/>
  <c r="I121" i="1"/>
  <c r="H121" i="1"/>
  <c r="A123" i="1"/>
  <c r="B122" i="1"/>
  <c r="A116" i="2" l="1"/>
  <c r="B115" i="2"/>
  <c r="C115" i="2" s="1"/>
  <c r="B115" i="3"/>
  <c r="C115" i="3" s="1"/>
  <c r="A116" i="3"/>
  <c r="B123" i="1"/>
  <c r="A124" i="1"/>
  <c r="I122" i="1"/>
  <c r="H122" i="1"/>
  <c r="C122" i="1"/>
  <c r="D122" i="1" s="1"/>
  <c r="F122" i="1"/>
  <c r="G122" i="1" s="1"/>
  <c r="J121" i="1"/>
  <c r="A117" i="3" l="1"/>
  <c r="B116" i="3"/>
  <c r="C116" i="3" s="1"/>
  <c r="B116" i="2"/>
  <c r="C116" i="2" s="1"/>
  <c r="A117" i="2"/>
  <c r="C123" i="1"/>
  <c r="D123" i="1" s="1"/>
  <c r="H123" i="1"/>
  <c r="I123" i="1"/>
  <c r="F123" i="1"/>
  <c r="G123" i="1" s="1"/>
  <c r="B124" i="1"/>
  <c r="A125" i="1"/>
  <c r="J122" i="1"/>
  <c r="B117" i="2" l="1"/>
  <c r="C117" i="2" s="1"/>
  <c r="A118" i="2"/>
  <c r="A118" i="3"/>
  <c r="B117" i="3"/>
  <c r="C117" i="3" s="1"/>
  <c r="J123" i="1"/>
  <c r="C124" i="1"/>
  <c r="D124" i="1" s="1"/>
  <c r="F124" i="1"/>
  <c r="G124" i="1" s="1"/>
  <c r="H124" i="1"/>
  <c r="I124" i="1"/>
  <c r="B125" i="1"/>
  <c r="A126" i="1"/>
  <c r="B118" i="3" l="1"/>
  <c r="C118" i="3" s="1"/>
  <c r="A119" i="3"/>
  <c r="A119" i="2"/>
  <c r="B118" i="2"/>
  <c r="C118" i="2" s="1"/>
  <c r="J124" i="1"/>
  <c r="B126" i="1"/>
  <c r="A127" i="1"/>
  <c r="F125" i="1"/>
  <c r="G125" i="1" s="1"/>
  <c r="H125" i="1"/>
  <c r="C125" i="1"/>
  <c r="D125" i="1" s="1"/>
  <c r="I125" i="1"/>
  <c r="A120" i="2" l="1"/>
  <c r="B119" i="2"/>
  <c r="C119" i="2" s="1"/>
  <c r="B119" i="3"/>
  <c r="C119" i="3" s="1"/>
  <c r="A120" i="3"/>
  <c r="I126" i="1"/>
  <c r="H126" i="1"/>
  <c r="C126" i="1"/>
  <c r="D126" i="1" s="1"/>
  <c r="F126" i="1"/>
  <c r="G126" i="1" s="1"/>
  <c r="A128" i="1"/>
  <c r="B127" i="1"/>
  <c r="J125" i="1"/>
  <c r="A121" i="3" l="1"/>
  <c r="B120" i="3"/>
  <c r="C120" i="3" s="1"/>
  <c r="B120" i="2"/>
  <c r="C120" i="2" s="1"/>
  <c r="A121" i="2"/>
  <c r="C127" i="1"/>
  <c r="D127" i="1" s="1"/>
  <c r="H127" i="1"/>
  <c r="F127" i="1"/>
  <c r="G127" i="1" s="1"/>
  <c r="I127" i="1"/>
  <c r="J126" i="1"/>
  <c r="B128" i="1"/>
  <c r="A129" i="1"/>
  <c r="B121" i="2" l="1"/>
  <c r="C121" i="2" s="1"/>
  <c r="A122" i="2"/>
  <c r="A122" i="3"/>
  <c r="B121" i="3"/>
  <c r="C121" i="3" s="1"/>
  <c r="J127" i="1"/>
  <c r="B129" i="1"/>
  <c r="A130" i="1"/>
  <c r="F128" i="1"/>
  <c r="G128" i="1" s="1"/>
  <c r="H128" i="1"/>
  <c r="C128" i="1"/>
  <c r="D128" i="1" s="1"/>
  <c r="I128" i="1"/>
  <c r="B122" i="3" l="1"/>
  <c r="C122" i="3" s="1"/>
  <c r="A123" i="3"/>
  <c r="A123" i="2"/>
  <c r="B122" i="2"/>
  <c r="C122" i="2" s="1"/>
  <c r="B130" i="1"/>
  <c r="A131" i="1"/>
  <c r="J128" i="1"/>
  <c r="F129" i="1"/>
  <c r="G129" i="1" s="1"/>
  <c r="H129" i="1"/>
  <c r="C129" i="1"/>
  <c r="D129" i="1" s="1"/>
  <c r="I129" i="1"/>
  <c r="A124" i="2" l="1"/>
  <c r="B123" i="2"/>
  <c r="C123" i="2" s="1"/>
  <c r="B123" i="3"/>
  <c r="C123" i="3" s="1"/>
  <c r="A124" i="3"/>
  <c r="C130" i="1"/>
  <c r="D130" i="1" s="1"/>
  <c r="H130" i="1"/>
  <c r="I130" i="1"/>
  <c r="F130" i="1"/>
  <c r="G130" i="1" s="1"/>
  <c r="J129" i="1"/>
  <c r="B131" i="1"/>
  <c r="A132" i="1"/>
  <c r="A125" i="3" l="1"/>
  <c r="B124" i="3"/>
  <c r="C124" i="3" s="1"/>
  <c r="B124" i="2"/>
  <c r="C124" i="2" s="1"/>
  <c r="A125" i="2"/>
  <c r="J130" i="1"/>
  <c r="B132" i="1"/>
  <c r="A133" i="1"/>
  <c r="C131" i="1"/>
  <c r="D131" i="1" s="1"/>
  <c r="H131" i="1"/>
  <c r="I131" i="1"/>
  <c r="F131" i="1"/>
  <c r="G131" i="1" s="1"/>
  <c r="B125" i="2" l="1"/>
  <c r="C125" i="2" s="1"/>
  <c r="A126" i="2"/>
  <c r="A126" i="3"/>
  <c r="B125" i="3"/>
  <c r="C125" i="3" s="1"/>
  <c r="J131" i="1"/>
  <c r="B133" i="1"/>
  <c r="A134" i="1"/>
  <c r="F132" i="1"/>
  <c r="G132" i="1" s="1"/>
  <c r="I132" i="1"/>
  <c r="C132" i="1"/>
  <c r="D132" i="1" s="1"/>
  <c r="H132" i="1"/>
  <c r="B126" i="3" l="1"/>
  <c r="C126" i="3" s="1"/>
  <c r="A127" i="3"/>
  <c r="A127" i="2"/>
  <c r="B126" i="2"/>
  <c r="C126" i="2" s="1"/>
  <c r="B134" i="1"/>
  <c r="A135" i="1"/>
  <c r="J132" i="1"/>
  <c r="I133" i="1"/>
  <c r="H133" i="1"/>
  <c r="F133" i="1"/>
  <c r="G133" i="1" s="1"/>
  <c r="C133" i="1"/>
  <c r="D133" i="1" s="1"/>
  <c r="A128" i="2" l="1"/>
  <c r="B127" i="2"/>
  <c r="C127" i="2" s="1"/>
  <c r="B127" i="3"/>
  <c r="C127" i="3" s="1"/>
  <c r="A128" i="3"/>
  <c r="J133" i="1"/>
  <c r="B135" i="1"/>
  <c r="A136" i="1"/>
  <c r="C134" i="1"/>
  <c r="D134" i="1" s="1"/>
  <c r="H134" i="1"/>
  <c r="I134" i="1"/>
  <c r="F134" i="1"/>
  <c r="G134" i="1" s="1"/>
  <c r="A129" i="3" l="1"/>
  <c r="B128" i="3"/>
  <c r="C128" i="3" s="1"/>
  <c r="B128" i="2"/>
  <c r="C128" i="2" s="1"/>
  <c r="A129" i="2"/>
  <c r="J134" i="1"/>
  <c r="B136" i="1"/>
  <c r="A137" i="1"/>
  <c r="C135" i="1"/>
  <c r="D135" i="1" s="1"/>
  <c r="H135" i="1"/>
  <c r="I135" i="1"/>
  <c r="F135" i="1"/>
  <c r="G135" i="1" s="1"/>
  <c r="B129" i="2" l="1"/>
  <c r="C129" i="2" s="1"/>
  <c r="A130" i="2"/>
  <c r="A130" i="3"/>
  <c r="B129" i="3"/>
  <c r="C129" i="3" s="1"/>
  <c r="J135" i="1"/>
  <c r="B137" i="1"/>
  <c r="A138" i="1"/>
  <c r="F136" i="1"/>
  <c r="G136" i="1" s="1"/>
  <c r="I136" i="1"/>
  <c r="C136" i="1"/>
  <c r="D136" i="1" s="1"/>
  <c r="H136" i="1"/>
  <c r="B130" i="3" l="1"/>
  <c r="C130" i="3" s="1"/>
  <c r="A131" i="3"/>
  <c r="A131" i="2"/>
  <c r="B130" i="2"/>
  <c r="C130" i="2" s="1"/>
  <c r="B138" i="1"/>
  <c r="A139" i="1"/>
  <c r="J136" i="1"/>
  <c r="I137" i="1"/>
  <c r="C137" i="1"/>
  <c r="D137" i="1" s="1"/>
  <c r="F137" i="1"/>
  <c r="G137" i="1" s="1"/>
  <c r="H137" i="1"/>
  <c r="A132" i="2" l="1"/>
  <c r="B131" i="2"/>
  <c r="C131" i="2" s="1"/>
  <c r="B131" i="3"/>
  <c r="C131" i="3" s="1"/>
  <c r="A132" i="3"/>
  <c r="C138" i="1"/>
  <c r="D138" i="1" s="1"/>
  <c r="H138" i="1"/>
  <c r="I138" i="1"/>
  <c r="F138" i="1"/>
  <c r="G138" i="1" s="1"/>
  <c r="J137" i="1"/>
  <c r="B139" i="1"/>
  <c r="A140" i="1"/>
  <c r="A133" i="3" l="1"/>
  <c r="B132" i="3"/>
  <c r="C132" i="3" s="1"/>
  <c r="B132" i="2"/>
  <c r="C132" i="2" s="1"/>
  <c r="A133" i="2"/>
  <c r="J138" i="1"/>
  <c r="B140" i="1"/>
  <c r="A141" i="1"/>
  <c r="C139" i="1"/>
  <c r="D139" i="1" s="1"/>
  <c r="H139" i="1"/>
  <c r="I139" i="1"/>
  <c r="F139" i="1"/>
  <c r="G139" i="1" s="1"/>
  <c r="B133" i="2" l="1"/>
  <c r="C133" i="2" s="1"/>
  <c r="A134" i="2"/>
  <c r="A134" i="3"/>
  <c r="B133" i="3"/>
  <c r="C133" i="3" s="1"/>
  <c r="J139" i="1"/>
  <c r="B141" i="1"/>
  <c r="A142" i="1"/>
  <c r="F140" i="1"/>
  <c r="G140" i="1" s="1"/>
  <c r="I140" i="1"/>
  <c r="C140" i="1"/>
  <c r="D140" i="1" s="1"/>
  <c r="H140" i="1"/>
  <c r="B134" i="3" l="1"/>
  <c r="C134" i="3" s="1"/>
  <c r="A135" i="3"/>
  <c r="A135" i="2"/>
  <c r="B134" i="2"/>
  <c r="C134" i="2" s="1"/>
  <c r="B142" i="1"/>
  <c r="A143" i="1"/>
  <c r="J140" i="1"/>
  <c r="I141" i="1"/>
  <c r="C141" i="1"/>
  <c r="D141" i="1" s="1"/>
  <c r="F141" i="1"/>
  <c r="G141" i="1" s="1"/>
  <c r="H141" i="1"/>
  <c r="A136" i="2" l="1"/>
  <c r="B135" i="2"/>
  <c r="C135" i="2" s="1"/>
  <c r="B135" i="3"/>
  <c r="C135" i="3" s="1"/>
  <c r="A136" i="3"/>
  <c r="C142" i="1"/>
  <c r="D142" i="1" s="1"/>
  <c r="H142" i="1"/>
  <c r="I142" i="1"/>
  <c r="F142" i="1"/>
  <c r="G142" i="1" s="1"/>
  <c r="J141" i="1"/>
  <c r="B143" i="1"/>
  <c r="A144" i="1"/>
  <c r="A137" i="3" l="1"/>
  <c r="B136" i="3"/>
  <c r="C136" i="3" s="1"/>
  <c r="B136" i="2"/>
  <c r="C136" i="2" s="1"/>
  <c r="A137" i="2"/>
  <c r="J142" i="1"/>
  <c r="B144" i="1"/>
  <c r="A145" i="1"/>
  <c r="C143" i="1"/>
  <c r="D143" i="1" s="1"/>
  <c r="H143" i="1"/>
  <c r="I143" i="1"/>
  <c r="F143" i="1"/>
  <c r="G143" i="1" s="1"/>
  <c r="B137" i="2" l="1"/>
  <c r="C137" i="2" s="1"/>
  <c r="A138" i="2"/>
  <c r="A138" i="3"/>
  <c r="B137" i="3"/>
  <c r="C137" i="3" s="1"/>
  <c r="J143" i="1"/>
  <c r="B145" i="1"/>
  <c r="A146" i="1"/>
  <c r="F144" i="1"/>
  <c r="G144" i="1" s="1"/>
  <c r="I144" i="1"/>
  <c r="C144" i="1"/>
  <c r="D144" i="1" s="1"/>
  <c r="H144" i="1"/>
  <c r="B138" i="3" l="1"/>
  <c r="C138" i="3" s="1"/>
  <c r="A139" i="3"/>
  <c r="A139" i="2"/>
  <c r="B138" i="2"/>
  <c r="C138" i="2" s="1"/>
  <c r="B146" i="1"/>
  <c r="A147" i="1"/>
  <c r="J144" i="1"/>
  <c r="I145" i="1"/>
  <c r="C145" i="1"/>
  <c r="D145" i="1" s="1"/>
  <c r="F145" i="1"/>
  <c r="G145" i="1" s="1"/>
  <c r="H145" i="1"/>
  <c r="A140" i="2" l="1"/>
  <c r="B139" i="2"/>
  <c r="C139" i="2" s="1"/>
  <c r="B139" i="3"/>
  <c r="C139" i="3" s="1"/>
  <c r="A140" i="3"/>
  <c r="C146" i="1"/>
  <c r="D146" i="1" s="1"/>
  <c r="H146" i="1"/>
  <c r="I146" i="1"/>
  <c r="F146" i="1"/>
  <c r="G146" i="1" s="1"/>
  <c r="J145" i="1"/>
  <c r="B147" i="1"/>
  <c r="A148" i="1"/>
  <c r="A141" i="3" l="1"/>
  <c r="B141" i="3" s="1"/>
  <c r="C141" i="3" s="1"/>
  <c r="C14" i="3" s="1"/>
  <c r="B140" i="3"/>
  <c r="C140" i="3" s="1"/>
  <c r="B140" i="2"/>
  <c r="C140" i="2" s="1"/>
  <c r="A141" i="2"/>
  <c r="B141" i="2" s="1"/>
  <c r="C141" i="2" s="1"/>
  <c r="C14" i="2" s="1"/>
  <c r="J146" i="1"/>
  <c r="B148" i="1"/>
  <c r="A149" i="1"/>
  <c r="F147" i="1"/>
  <c r="G147" i="1" s="1"/>
  <c r="C147" i="1"/>
  <c r="D147" i="1" s="1"/>
  <c r="H147" i="1"/>
  <c r="I147" i="1"/>
  <c r="J147" i="1" l="1"/>
  <c r="B149" i="1"/>
  <c r="A150" i="1"/>
  <c r="F148" i="1"/>
  <c r="G148" i="1" s="1"/>
  <c r="C148" i="1"/>
  <c r="D148" i="1" s="1"/>
  <c r="H148" i="1"/>
  <c r="I148" i="1"/>
  <c r="J148" i="1" l="1"/>
  <c r="B150" i="1"/>
  <c r="A151" i="1"/>
  <c r="I149" i="1"/>
  <c r="H149" i="1"/>
  <c r="F149" i="1"/>
  <c r="G149" i="1" s="1"/>
  <c r="C149" i="1"/>
  <c r="D149" i="1" s="1"/>
  <c r="C150" i="1" l="1"/>
  <c r="D150" i="1" s="1"/>
  <c r="H150" i="1"/>
  <c r="I150" i="1"/>
  <c r="F150" i="1"/>
  <c r="G150" i="1" s="1"/>
  <c r="J149" i="1"/>
  <c r="B151" i="1"/>
  <c r="A152" i="1"/>
  <c r="J150" i="1" l="1"/>
  <c r="J23" i="1" s="1"/>
  <c r="D46" i="6" l="1"/>
  <c r="D47" i="6" l="1"/>
  <c r="D48" i="6" s="1"/>
  <c r="D49" i="6" s="1"/>
  <c r="B46" i="6"/>
  <c r="B47" i="6" l="1"/>
  <c r="B48" i="6" l="1"/>
  <c r="B49" i="6" l="1"/>
  <c r="E39" i="6" s="1"/>
  <c r="G39" i="6" s="1"/>
  <c r="E65" i="6"/>
  <c r="G65" i="6" s="1"/>
  <c r="E66" i="6"/>
  <c r="G66" i="6" s="1"/>
  <c r="E33" i="6" l="1"/>
  <c r="G33" i="6" s="1"/>
  <c r="E24" i="6"/>
  <c r="G24" i="6" s="1"/>
  <c r="E56" i="6"/>
  <c r="G56" i="6" s="1"/>
  <c r="E45" i="6"/>
  <c r="G45" i="6" s="1"/>
  <c r="E47" i="6"/>
  <c r="G47" i="6" s="1"/>
  <c r="E61" i="6"/>
  <c r="G61" i="6" s="1"/>
  <c r="E49" i="6"/>
  <c r="G49" i="6" s="1"/>
  <c r="E44" i="6"/>
  <c r="G44" i="6" s="1"/>
  <c r="E58" i="6"/>
  <c r="G58" i="6" s="1"/>
  <c r="E40" i="6"/>
  <c r="G40" i="6" s="1"/>
  <c r="E64" i="6"/>
  <c r="G64" i="6" s="1"/>
  <c r="E54" i="6"/>
  <c r="G54" i="6" s="1"/>
  <c r="E53" i="6"/>
  <c r="G53" i="6" s="1"/>
  <c r="E36" i="6"/>
  <c r="G36" i="6" s="1"/>
  <c r="E67" i="6"/>
  <c r="G67" i="6" s="1"/>
  <c r="E51" i="6"/>
  <c r="G51" i="6" s="1"/>
  <c r="E55" i="6"/>
  <c r="G55" i="6" s="1"/>
  <c r="E41" i="6"/>
  <c r="G41" i="6" s="1"/>
  <c r="E31" i="6"/>
  <c r="G31" i="6" s="1"/>
  <c r="E57" i="6"/>
  <c r="G57" i="6" s="1"/>
  <c r="E28" i="6"/>
  <c r="G28" i="6" s="1"/>
  <c r="E59" i="6"/>
  <c r="G59" i="6" s="1"/>
  <c r="E35" i="6"/>
  <c r="G35" i="6" s="1"/>
  <c r="E32" i="6"/>
  <c r="G32" i="6" s="1"/>
  <c r="E25" i="6"/>
  <c r="G25" i="6" s="1"/>
  <c r="E68" i="6"/>
  <c r="G68" i="6" s="1"/>
  <c r="E37" i="6"/>
  <c r="G37" i="6" s="1"/>
  <c r="E60" i="6"/>
  <c r="G60" i="6" s="1"/>
  <c r="E63" i="6"/>
  <c r="G63" i="6" s="1"/>
  <c r="E34" i="6"/>
  <c r="G34" i="6" s="1"/>
  <c r="E30" i="6"/>
  <c r="G30" i="6" s="1"/>
  <c r="E38" i="6"/>
  <c r="G38" i="6" s="1"/>
  <c r="E42" i="6"/>
  <c r="G42" i="6" s="1"/>
  <c r="E27" i="6"/>
  <c r="G27" i="6" s="1"/>
  <c r="E52" i="6"/>
  <c r="G52" i="6" s="1"/>
  <c r="E26" i="6"/>
  <c r="G26" i="6" s="1"/>
  <c r="E43" i="6"/>
  <c r="G43" i="6" s="1"/>
  <c r="E62" i="6"/>
  <c r="G62" i="6" s="1"/>
  <c r="E29" i="6"/>
  <c r="G29" i="6" s="1"/>
  <c r="E50" i="6"/>
  <c r="G50" i="6" s="1"/>
  <c r="E46" i="6"/>
  <c r="G46" i="6" s="1"/>
  <c r="E48" i="6"/>
  <c r="G48" i="6" s="1"/>
</calcChain>
</file>

<file path=xl/comments1.xml><?xml version="1.0" encoding="utf-8"?>
<comments xmlns="http://schemas.openxmlformats.org/spreadsheetml/2006/main">
  <authors>
    <author xml:space="preserve"> </author>
    <author>Richard Methot</author>
    <author xml:space="preserve"> Richard Methot</author>
  </authors>
  <commentList>
    <comment ref="A3" authorId="0" shapeId="0">
      <text>
        <r>
          <rPr>
            <b/>
            <sz val="8"/>
            <color indexed="81"/>
            <rFont val="Tahoma"/>
            <family val="2"/>
          </rPr>
          <t xml:space="preserve"> Enter:
20 for age selex
24 for size selex</t>
        </r>
      </text>
    </comment>
    <comment ref="I5" authorId="1" shapeId="0">
      <text>
        <r>
          <rPr>
            <b/>
            <sz val="8"/>
            <color indexed="81"/>
            <rFont val="Tahoma"/>
            <family val="2"/>
          </rPr>
          <t>Switch:
1= use Input below
0= Use Slider</t>
        </r>
      </text>
    </comment>
    <comment ref="G7" authorId="0" shapeId="0">
      <text>
        <r>
          <rPr>
            <b/>
            <sz val="8"/>
            <color indexed="81"/>
            <rFont val="Tahoma"/>
            <family val="2"/>
          </rPr>
          <t xml:space="preserve"> Bounds on PEAK in SS2 are user-specified, not linked to the min-max bin values as here</t>
        </r>
      </text>
    </comment>
    <comment ref="C12" authorId="0" shapeId="0">
      <text>
        <r>
          <rPr>
            <b/>
            <sz val="8"/>
            <color indexed="81"/>
            <rFont val="Tahoma"/>
            <family val="2"/>
          </rPr>
          <t xml:space="preserve"> Value of -999 for INIT or FINAL causes the init and/or final scaling to be skipped</t>
        </r>
      </text>
    </comment>
    <comment ref="H15" authorId="2" shapeId="0">
      <text>
        <r>
          <rPr>
            <b/>
            <sz val="8"/>
            <color indexed="81"/>
            <rFont val="Tahoma"/>
            <family val="2"/>
          </rPr>
          <t xml:space="preserve"> If value of INIT is &lt;=-1000, then use it to set selectivity to zero thru this size/age</t>
        </r>
      </text>
    </comment>
    <comment ref="H24" authorId="1" shapeId="0">
      <text>
        <r>
          <rPr>
            <b/>
            <sz val="8"/>
            <color indexed="81"/>
            <rFont val="Tahoma"/>
            <family val="2"/>
          </rPr>
          <t>steepness of joiner fxn
(not user-accessible in SS2)</t>
        </r>
      </text>
    </comment>
  </commentList>
</comments>
</file>

<file path=xl/sharedStrings.xml><?xml version="1.0" encoding="utf-8"?>
<sst xmlns="http://schemas.openxmlformats.org/spreadsheetml/2006/main" count="191" uniqueCount="105">
  <si>
    <t>Use slider bars below to change the parameter values</t>
  </si>
  <si>
    <t>Parameter</t>
  </si>
  <si>
    <t>Name</t>
  </si>
  <si>
    <t>Value</t>
  </si>
  <si>
    <t>Type</t>
  </si>
  <si>
    <t>Trans</t>
  </si>
  <si>
    <t>min</t>
  </si>
  <si>
    <t>max</t>
  </si>
  <si>
    <t>#LO</t>
  </si>
  <si>
    <t>HI</t>
  </si>
  <si>
    <t>INIT</t>
  </si>
  <si>
    <t>PRIOR</t>
  </si>
  <si>
    <t>PR_type</t>
  </si>
  <si>
    <t>SD</t>
  </si>
  <si>
    <t>PHASE</t>
  </si>
  <si>
    <t>env-variable</t>
  </si>
  <si>
    <t>use_dev</t>
  </si>
  <si>
    <t>dev_minyr</t>
  </si>
  <si>
    <t>dev_maxyr</t>
  </si>
  <si>
    <t>dev_stddev</t>
  </si>
  <si>
    <t>Block_Pattern</t>
  </si>
  <si>
    <t>Block_Type</t>
  </si>
  <si>
    <t>PEAK</t>
  </si>
  <si>
    <t>value</t>
  </si>
  <si>
    <t>#</t>
  </si>
  <si>
    <t>TOP</t>
  </si>
  <si>
    <t>logistic</t>
  </si>
  <si>
    <t>WIDTH</t>
  </si>
  <si>
    <t>exp</t>
  </si>
  <si>
    <t>FINAL</t>
  </si>
  <si>
    <t xml:space="preserve">max_selex: </t>
  </si>
  <si>
    <t>some intermediate quantities</t>
  </si>
  <si>
    <t>asc</t>
  </si>
  <si>
    <t>asc_scaled</t>
  </si>
  <si>
    <t>desc</t>
  </si>
  <si>
    <t>desc_scaled</t>
  </si>
  <si>
    <t>join1</t>
  </si>
  <si>
    <t>join2</t>
  </si>
  <si>
    <t>selex</t>
  </si>
  <si>
    <t>Bin</t>
  </si>
  <si>
    <t>Bin_Mid</t>
  </si>
  <si>
    <t>INPUT VALUES IN YELLOW</t>
  </si>
  <si>
    <t>MidBin</t>
  </si>
  <si>
    <t>slider_value (0-1000)</t>
  </si>
  <si>
    <t>ASC-WIDTH</t>
  </si>
  <si>
    <t>DSC-WIDTH</t>
  </si>
  <si>
    <t>Input</t>
  </si>
  <si>
    <t>BinWidth</t>
  </si>
  <si>
    <t>Peak</t>
  </si>
  <si>
    <t>Peak2</t>
  </si>
  <si>
    <t>BINS:</t>
  </si>
  <si>
    <t>Type 1: Logistic Length Selectivity</t>
  </si>
  <si>
    <t>RED = do not edit</t>
  </si>
  <si>
    <t>YELLOW=enter values here</t>
  </si>
  <si>
    <t>L or A:</t>
  </si>
  <si>
    <t>L</t>
  </si>
  <si>
    <t>Transformed value for calculations</t>
  </si>
  <si>
    <t>Length at 50% selectivity</t>
  </si>
  <si>
    <t>Difference between lengths at 95% and 50% selectivity</t>
  </si>
  <si>
    <t>range must be bounded to stay negative ro stay positive</t>
  </si>
  <si>
    <t>For the Toolbox GUI, the bin values can be obtained from the bin setup and should not be independently generated here</t>
  </si>
  <si>
    <t>Bin_Calc</t>
  </si>
  <si>
    <t>Type 12: Logistic Age Selectivity</t>
  </si>
  <si>
    <t>A</t>
  </si>
  <si>
    <t>Age at 50% selectivity</t>
  </si>
  <si>
    <t>Difference between ages at 95% and 50% selectivity</t>
  </si>
  <si>
    <t>Max</t>
  </si>
  <si>
    <t>Age</t>
  </si>
  <si>
    <t>Parm</t>
  </si>
  <si>
    <t>Use_Parm</t>
  </si>
  <si>
    <t>Cum_Parm</t>
  </si>
  <si>
    <t>Scaled_ Cum_Parm</t>
  </si>
  <si>
    <t>Selex</t>
  </si>
  <si>
    <t>NOTE:</t>
  </si>
  <si>
    <t>parm value = -1000 causes selex equal zero for youngest ages (until first value &gt;-1000)</t>
  </si>
  <si>
    <t>parm value = -999 carries forward previous parm value</t>
  </si>
  <si>
    <t>after any initial values of -1000, the first value should be &gt;=0.0 and should not be estimated (so all other values are relative to this baseline)</t>
  </si>
  <si>
    <t>min age for selex=1.0</t>
  </si>
  <si>
    <t>max age for selex=1.0</t>
  </si>
  <si>
    <t>mean over selected age range</t>
  </si>
  <si>
    <t>select_range</t>
  </si>
  <si>
    <t>Pattern #6; non-parametric selex based on set of linear segments</t>
  </si>
  <si>
    <t>This example has 7 waypoints specified by the value of "special"</t>
  </si>
  <si>
    <t>#Pattern</t>
  </si>
  <si>
    <t>Retention</t>
  </si>
  <si>
    <t>Male</t>
  </si>
  <si>
    <t>Special</t>
  </si>
  <si>
    <t>#Note the examples values are set to be dome-shaped with largest selectivity occurring at the 5th waypoint</t>
  </si>
  <si>
    <t># P1; length below which ln(selex) ramps down to -10.</t>
  </si>
  <si>
    <t># P2; length above which selex is constant</t>
  </si>
  <si>
    <t># ln selex at P1</t>
  </si>
  <si>
    <t># ln selex at intermediate waypoint; N waypoints set in the Special element of selex set-up</t>
  </si>
  <si>
    <t># ln selex at P2</t>
  </si>
  <si>
    <t>Hardwired calculations</t>
  </si>
  <si>
    <t>Len_mid</t>
  </si>
  <si>
    <t>tempvec_l</t>
  </si>
  <si>
    <t>Waypoints</t>
  </si>
  <si>
    <t>setpoint</t>
  </si>
  <si>
    <t>start</t>
  </si>
  <si>
    <t>linear</t>
  </si>
  <si>
    <t>note that values are the ln(selex) at length and are not a randwalk across lengths</t>
  </si>
  <si>
    <t>last point</t>
  </si>
  <si>
    <t>constant</t>
  </si>
  <si>
    <t>tempvec-max</t>
  </si>
  <si>
    <t>sel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</si>
</sst>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"/>
    <numFmt numFmtId="165" formatCode="0.000"/>
    <numFmt numFmtId="166" formatCode="0.0000"/>
    <numFmt numFmtId="167" formatCode="0.000000"/>
  </numFmts>
  <fonts count="8" x14ac:knownFonts="1">
    <font>
      <sz val="10"/>
      <name val="MS Sans Serif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MS Sans Serif"/>
      <family val="2"/>
    </font>
    <font>
      <b/>
      <sz val="8"/>
      <color indexed="81"/>
      <name val="Tahoma"/>
      <family val="2"/>
    </font>
    <font>
      <sz val="10"/>
      <name val="Arial"/>
    </font>
    <font>
      <b/>
      <sz val="10"/>
      <name val="Arial"/>
      <family val="2"/>
    </font>
    <font>
      <sz val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0" fontId="5" fillId="0" borderId="0"/>
    <xf numFmtId="0" fontId="5" fillId="0" borderId="0"/>
    <xf numFmtId="0" fontId="1" fillId="0" borderId="0"/>
  </cellStyleXfs>
  <cellXfs count="99">
    <xf numFmtId="0" fontId="0" fillId="0" borderId="0" xfId="0"/>
    <xf numFmtId="0" fontId="0" fillId="0" borderId="0" xfId="0" applyAlignment="1">
      <alignment wrapText="1"/>
    </xf>
    <xf numFmtId="0" fontId="3" fillId="0" borderId="0" xfId="0" applyFont="1"/>
    <xf numFmtId="0" fontId="0" fillId="2" borderId="0" xfId="0" applyFill="1"/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Fill="1" applyBorder="1"/>
    <xf numFmtId="164" fontId="3" fillId="0" borderId="0" xfId="0" applyNumberFormat="1" applyFont="1" applyFill="1" applyAlignment="1">
      <alignment horizontal="center"/>
    </xf>
    <xf numFmtId="164" fontId="0" fillId="3" borderId="0" xfId="0" applyNumberFormat="1" applyFill="1"/>
    <xf numFmtId="0" fontId="0" fillId="3" borderId="0" xfId="0" applyFill="1" applyAlignment="1">
      <alignment horizontal="center"/>
    </xf>
    <xf numFmtId="0" fontId="0" fillId="0" borderId="0" xfId="0" applyFill="1" applyAlignment="1">
      <alignment horizontal="center"/>
    </xf>
    <xf numFmtId="164" fontId="0" fillId="0" borderId="0" xfId="0" applyNumberFormat="1"/>
    <xf numFmtId="0" fontId="3" fillId="2" borderId="0" xfId="0" applyFont="1" applyFill="1" applyBorder="1"/>
    <xf numFmtId="0" fontId="2" fillId="0" borderId="0" xfId="1" applyFill="1"/>
    <xf numFmtId="0" fontId="0" fillId="0" borderId="0" xfId="0" applyBorder="1"/>
    <xf numFmtId="0" fontId="2" fillId="0" borderId="0" xfId="1"/>
    <xf numFmtId="0" fontId="3" fillId="0" borderId="0" xfId="0" applyFont="1" applyBorder="1" applyAlignment="1">
      <alignment horizontal="right"/>
    </xf>
    <xf numFmtId="0" fontId="0" fillId="3" borderId="2" xfId="0" applyFill="1" applyBorder="1"/>
    <xf numFmtId="0" fontId="0" fillId="3" borderId="3" xfId="0" applyFill="1" applyBorder="1"/>
    <xf numFmtId="0" fontId="0" fillId="0" borderId="0" xfId="0" applyAlignment="1">
      <alignment horizontal="right"/>
    </xf>
    <xf numFmtId="167" fontId="0" fillId="0" borderId="0" xfId="0" applyNumberFormat="1"/>
    <xf numFmtId="0" fontId="0" fillId="3" borderId="0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1" applyFont="1"/>
    <xf numFmtId="2" fontId="0" fillId="0" borderId="0" xfId="0" applyNumberFormat="1"/>
    <xf numFmtId="166" fontId="0" fillId="0" borderId="0" xfId="0" applyNumberFormat="1"/>
    <xf numFmtId="165" fontId="0" fillId="0" borderId="0" xfId="0" applyNumberFormat="1"/>
    <xf numFmtId="0" fontId="3" fillId="2" borderId="0" xfId="0" applyFont="1" applyFill="1"/>
    <xf numFmtId="0" fontId="3" fillId="3" borderId="0" xfId="0" applyFont="1" applyFill="1" applyBorder="1" applyAlignment="1">
      <alignment horizontal="right"/>
    </xf>
    <xf numFmtId="0" fontId="3" fillId="3" borderId="0" xfId="0" applyFont="1" applyFill="1" applyBorder="1"/>
    <xf numFmtId="0" fontId="2" fillId="3" borderId="0" xfId="1" applyFill="1"/>
    <xf numFmtId="0" fontId="0" fillId="3" borderId="0" xfId="0" applyFill="1"/>
    <xf numFmtId="0" fontId="0" fillId="3" borderId="7" xfId="0" applyFill="1" applyBorder="1"/>
    <xf numFmtId="164" fontId="0" fillId="3" borderId="7" xfId="0" applyNumberFormat="1" applyFill="1" applyBorder="1"/>
    <xf numFmtId="166" fontId="2" fillId="3" borderId="2" xfId="1" applyNumberFormat="1" applyFont="1" applyFill="1" applyBorder="1"/>
    <xf numFmtId="0" fontId="0" fillId="3" borderId="8" xfId="0" applyFill="1" applyBorder="1"/>
    <xf numFmtId="164" fontId="0" fillId="3" borderId="8" xfId="0" applyNumberFormat="1" applyFill="1" applyBorder="1"/>
    <xf numFmtId="0" fontId="2" fillId="3" borderId="0" xfId="1" applyFont="1" applyFill="1" applyBorder="1"/>
    <xf numFmtId="0" fontId="0" fillId="3" borderId="9" xfId="0" applyFill="1" applyBorder="1"/>
    <xf numFmtId="164" fontId="0" fillId="3" borderId="9" xfId="0" applyNumberFormat="1" applyFill="1" applyBorder="1"/>
    <xf numFmtId="0" fontId="3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Fill="1" applyBorder="1" applyAlignment="1">
      <alignment horizontal="right"/>
    </xf>
    <xf numFmtId="0" fontId="3" fillId="0" borderId="0" xfId="0" applyFont="1" applyFill="1"/>
    <xf numFmtId="0" fontId="0" fillId="0" borderId="0" xfId="0" applyFill="1"/>
    <xf numFmtId="164" fontId="2" fillId="3" borderId="0" xfId="1" applyNumberFormat="1" applyFill="1"/>
    <xf numFmtId="165" fontId="2" fillId="3" borderId="0" xfId="1" applyNumberFormat="1" applyFill="1"/>
    <xf numFmtId="1" fontId="2" fillId="3" borderId="0" xfId="1" applyNumberFormat="1" applyFill="1"/>
    <xf numFmtId="2" fontId="3" fillId="3" borderId="0" xfId="0" applyNumberFormat="1" applyFont="1" applyFill="1" applyBorder="1"/>
    <xf numFmtId="0" fontId="0" fillId="4" borderId="0" xfId="0" applyFill="1" applyAlignment="1">
      <alignment horizontal="center"/>
    </xf>
    <xf numFmtId="0" fontId="3" fillId="0" borderId="0" xfId="0" applyFont="1" applyAlignment="1">
      <alignment horizontal="center"/>
    </xf>
    <xf numFmtId="0" fontId="6" fillId="0" borderId="0" xfId="2" applyFont="1"/>
    <xf numFmtId="0" fontId="5" fillId="0" borderId="0" xfId="2"/>
    <xf numFmtId="0" fontId="5" fillId="5" borderId="0" xfId="2" applyFill="1"/>
    <xf numFmtId="0" fontId="3" fillId="0" borderId="0" xfId="2" applyFont="1" applyFill="1"/>
    <xf numFmtId="0" fontId="5" fillId="0" borderId="0" xfId="2" applyFill="1"/>
    <xf numFmtId="0" fontId="5" fillId="6" borderId="0" xfId="2" applyFill="1"/>
    <xf numFmtId="0" fontId="3" fillId="2" borderId="0" xfId="2" applyFont="1" applyFill="1"/>
    <xf numFmtId="0" fontId="3" fillId="0" borderId="1" xfId="2" applyFont="1" applyBorder="1" applyAlignment="1">
      <alignment horizontal="center"/>
    </xf>
    <xf numFmtId="0" fontId="3" fillId="0" borderId="1" xfId="2" applyFont="1" applyBorder="1"/>
    <xf numFmtId="0" fontId="3" fillId="0" borderId="1" xfId="2" applyFont="1" applyBorder="1" applyAlignment="1">
      <alignment horizontal="left"/>
    </xf>
    <xf numFmtId="0" fontId="3" fillId="0" borderId="0" xfId="2" applyFont="1" applyFill="1" applyBorder="1" applyAlignment="1">
      <alignment horizontal="center"/>
    </xf>
    <xf numFmtId="164" fontId="3" fillId="0" borderId="0" xfId="2" applyNumberFormat="1" applyFont="1" applyFill="1" applyAlignment="1">
      <alignment horizontal="center"/>
    </xf>
    <xf numFmtId="164" fontId="5" fillId="3" borderId="0" xfId="2" applyNumberFormat="1" applyFill="1"/>
    <xf numFmtId="164" fontId="5" fillId="3" borderId="0" xfId="3" applyNumberFormat="1" applyFill="1"/>
    <xf numFmtId="165" fontId="5" fillId="3" borderId="0" xfId="3" applyNumberFormat="1" applyFill="1"/>
    <xf numFmtId="0" fontId="3" fillId="0" borderId="0" xfId="2" applyFont="1" applyFill="1" applyBorder="1" applyAlignment="1">
      <alignment horizontal="right"/>
    </xf>
    <xf numFmtId="0" fontId="3" fillId="2" borderId="0" xfId="2" applyFont="1" applyFill="1" applyBorder="1"/>
    <xf numFmtId="0" fontId="5" fillId="0" borderId="0" xfId="3" applyFill="1"/>
    <xf numFmtId="0" fontId="3" fillId="0" borderId="0" xfId="2" applyFont="1" applyFill="1" applyBorder="1"/>
    <xf numFmtId="0" fontId="5" fillId="0" borderId="0" xfId="2" applyBorder="1"/>
    <xf numFmtId="0" fontId="3" fillId="0" borderId="0" xfId="2" applyFont="1" applyBorder="1" applyAlignment="1">
      <alignment horizontal="right"/>
    </xf>
    <xf numFmtId="0" fontId="5" fillId="0" borderId="0" xfId="3"/>
    <xf numFmtId="0" fontId="3" fillId="3" borderId="0" xfId="2" applyFont="1" applyFill="1" applyBorder="1"/>
    <xf numFmtId="0" fontId="5" fillId="0" borderId="0" xfId="2" applyAlignment="1">
      <alignment horizontal="left"/>
    </xf>
    <xf numFmtId="167" fontId="5" fillId="0" borderId="0" xfId="2" applyNumberFormat="1"/>
    <xf numFmtId="0" fontId="5" fillId="0" borderId="0" xfId="2" applyAlignment="1">
      <alignment horizontal="right"/>
    </xf>
    <xf numFmtId="165" fontId="5" fillId="0" borderId="0" xfId="2" applyNumberFormat="1"/>
    <xf numFmtId="2" fontId="5" fillId="0" borderId="0" xfId="2" applyNumberFormat="1"/>
    <xf numFmtId="0" fontId="5" fillId="0" borderId="0" xfId="3" applyFont="1"/>
    <xf numFmtId="0" fontId="3" fillId="0" borderId="0" xfId="2" applyFont="1" applyAlignment="1">
      <alignment horizontal="center"/>
    </xf>
    <xf numFmtId="0" fontId="1" fillId="0" borderId="0" xfId="4"/>
    <xf numFmtId="11" fontId="1" fillId="0" borderId="0" xfId="4" applyNumberFormat="1"/>
    <xf numFmtId="0" fontId="1" fillId="0" borderId="0" xfId="4" applyAlignment="1">
      <alignment horizontal="right"/>
    </xf>
    <xf numFmtId="0" fontId="1" fillId="5" borderId="0" xfId="4" applyFill="1" applyAlignment="1">
      <alignment horizontal="right"/>
    </xf>
    <xf numFmtId="0" fontId="1" fillId="0" borderId="0" xfId="4" applyAlignment="1">
      <alignment horizontal="right" wrapText="1"/>
    </xf>
    <xf numFmtId="0" fontId="1" fillId="6" borderId="0" xfId="4" applyNumberFormat="1" applyFill="1"/>
    <xf numFmtId="2" fontId="1" fillId="0" borderId="0" xfId="4" applyNumberFormat="1"/>
    <xf numFmtId="165" fontId="1" fillId="0" borderId="0" xfId="4" applyNumberFormat="1"/>
    <xf numFmtId="1" fontId="1" fillId="6" borderId="0" xfId="4" applyNumberFormat="1" applyFill="1"/>
    <xf numFmtId="2" fontId="1" fillId="5" borderId="0" xfId="4" applyNumberFormat="1" applyFill="1" applyAlignment="1">
      <alignment horizontal="right"/>
    </xf>
    <xf numFmtId="0" fontId="2" fillId="0" borderId="0" xfId="0" applyFont="1"/>
    <xf numFmtId="0" fontId="7" fillId="0" borderId="0" xfId="0" applyFont="1" applyAlignment="1">
      <alignment horizontal="right"/>
    </xf>
    <xf numFmtId="0" fontId="0" fillId="6" borderId="0" xfId="0" applyFill="1"/>
    <xf numFmtId="164" fontId="0" fillId="7" borderId="0" xfId="0" applyNumberFormat="1" applyFill="1"/>
    <xf numFmtId="0" fontId="0" fillId="7" borderId="0" xfId="0" applyFill="1"/>
  </cellXfs>
  <cellStyles count="5">
    <cellStyle name="Normal" xfId="0" builtinId="0"/>
    <cellStyle name="Normal 2" xfId="2"/>
    <cellStyle name="Normal 2 2" xfId="4"/>
    <cellStyle name="Normal_new selectivity" xfId="1"/>
    <cellStyle name="Normal_new selectivity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919288645690833E-2"/>
          <c:y val="7.1294559099437146E-2"/>
          <c:w val="0.86320109439124482"/>
          <c:h val="0.81425891181988741"/>
        </c:manualLayout>
      </c:layout>
      <c:scatterChart>
        <c:scatterStyle val="lineMarker"/>
        <c:varyColors val="0"/>
        <c:ser>
          <c:idx val="0"/>
          <c:order val="0"/>
          <c:tx>
            <c:strRef>
              <c:f>'Len-24 Age -20'!$C$25</c:f>
              <c:strCache>
                <c:ptCount val="1"/>
                <c:pt idx="0">
                  <c:v>asc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'Len-24 Age -20'!$B$26:$B$150</c:f>
              <c:numCache>
                <c:formatCode>General</c:formatCode>
                <c:ptCount val="1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</c:numCache>
            </c:numRef>
          </c:xVal>
          <c:yVal>
            <c:numRef>
              <c:f>'Len-24 Age -20'!$C$26:$C$150</c:f>
              <c:numCache>
                <c:formatCode>General</c:formatCode>
                <c:ptCount val="125"/>
                <c:pt idx="0">
                  <c:v>1.3148434315767309E-2</c:v>
                </c:pt>
                <c:pt idx="1">
                  <c:v>2.683180737563861E-2</c:v>
                </c:pt>
                <c:pt idx="2">
                  <c:v>5.1354059746450166E-2</c:v>
                </c:pt>
                <c:pt idx="3">
                  <c:v>9.2182526043322721E-2</c:v>
                </c:pt>
                <c:pt idx="4">
                  <c:v>0.15519273814978177</c:v>
                </c:pt>
                <c:pt idx="5">
                  <c:v>0.24504348186923663</c:v>
                </c:pt>
                <c:pt idx="6">
                  <c:v>0.36288070960971236</c:v>
                </c:pt>
                <c:pt idx="7">
                  <c:v>0.504003529343516</c:v>
                </c:pt>
                <c:pt idx="8">
                  <c:v>0.65652647089922189</c:v>
                </c:pt>
                <c:pt idx="9">
                  <c:v>0.80208403725754029</c:v>
                </c:pt>
                <c:pt idx="10">
                  <c:v>0.91904435824641528</c:v>
                </c:pt>
                <c:pt idx="11">
                  <c:v>0.98764766585526931</c:v>
                </c:pt>
                <c:pt idx="12">
                  <c:v>0.99544341537478687</c:v>
                </c:pt>
                <c:pt idx="13">
                  <c:v>0.9409793284171778</c:v>
                </c:pt>
                <c:pt idx="14">
                  <c:v>0.83424297027860828</c:v>
                </c:pt>
                <c:pt idx="15">
                  <c:v>0.69367173208128541</c:v>
                </c:pt>
                <c:pt idx="16">
                  <c:v>0.54095906918959402</c:v>
                </c:pt>
                <c:pt idx="17">
                  <c:v>0.39566149134739831</c:v>
                </c:pt>
                <c:pt idx="18">
                  <c:v>0.27141392734744413</c:v>
                </c:pt>
                <c:pt idx="19">
                  <c:v>0.17461817429381363</c:v>
                </c:pt>
                <c:pt idx="20">
                  <c:v>0.10536484321338371</c:v>
                </c:pt>
                <c:pt idx="21">
                  <c:v>0.10536484321338371</c:v>
                </c:pt>
                <c:pt idx="22">
                  <c:v>0.10536484321338371</c:v>
                </c:pt>
                <c:pt idx="23">
                  <c:v>0.10536484321338371</c:v>
                </c:pt>
                <c:pt idx="24">
                  <c:v>0.10536484321338371</c:v>
                </c:pt>
                <c:pt idx="25">
                  <c:v>0.10536484321338371</c:v>
                </c:pt>
                <c:pt idx="26">
                  <c:v>0.10536484321338371</c:v>
                </c:pt>
                <c:pt idx="27">
                  <c:v>0.10536484321338371</c:v>
                </c:pt>
                <c:pt idx="28">
                  <c:v>0.10536484321338371</c:v>
                </c:pt>
                <c:pt idx="29">
                  <c:v>0.10536484321338371</c:v>
                </c:pt>
                <c:pt idx="30">
                  <c:v>0.10536484321338371</c:v>
                </c:pt>
                <c:pt idx="31">
                  <c:v>0.10536484321338371</c:v>
                </c:pt>
                <c:pt idx="32">
                  <c:v>0.10536484321338371</c:v>
                </c:pt>
                <c:pt idx="33">
                  <c:v>0.10536484321338371</c:v>
                </c:pt>
                <c:pt idx="34">
                  <c:v>0.10536484321338371</c:v>
                </c:pt>
                <c:pt idx="35">
                  <c:v>0.10536484321338371</c:v>
                </c:pt>
                <c:pt idx="36">
                  <c:v>0.10536484321338371</c:v>
                </c:pt>
                <c:pt idx="37">
                  <c:v>0.10536484321338371</c:v>
                </c:pt>
                <c:pt idx="38">
                  <c:v>0.10536484321338371</c:v>
                </c:pt>
                <c:pt idx="39">
                  <c:v>0.10536484321338371</c:v>
                </c:pt>
                <c:pt idx="40">
                  <c:v>0.10536484321338371</c:v>
                </c:pt>
                <c:pt idx="41">
                  <c:v>0.10536484321338371</c:v>
                </c:pt>
                <c:pt idx="42">
                  <c:v>0.10536484321338371</c:v>
                </c:pt>
                <c:pt idx="43">
                  <c:v>0.10536484321338371</c:v>
                </c:pt>
                <c:pt idx="44">
                  <c:v>0.10536484321338371</c:v>
                </c:pt>
                <c:pt idx="45">
                  <c:v>0.10536484321338371</c:v>
                </c:pt>
                <c:pt idx="46">
                  <c:v>0.10536484321338371</c:v>
                </c:pt>
                <c:pt idx="47">
                  <c:v>0.10536484321338371</c:v>
                </c:pt>
                <c:pt idx="48">
                  <c:v>0.10536484321338371</c:v>
                </c:pt>
                <c:pt idx="49">
                  <c:v>0.10536484321338371</c:v>
                </c:pt>
                <c:pt idx="50">
                  <c:v>0.10536484321338371</c:v>
                </c:pt>
                <c:pt idx="51">
                  <c:v>0.10536484321338371</c:v>
                </c:pt>
                <c:pt idx="52">
                  <c:v>0.10536484321338371</c:v>
                </c:pt>
                <c:pt idx="53">
                  <c:v>0.10536484321338371</c:v>
                </c:pt>
                <c:pt idx="54">
                  <c:v>0.10536484321338371</c:v>
                </c:pt>
                <c:pt idx="55">
                  <c:v>0.10536484321338371</c:v>
                </c:pt>
                <c:pt idx="56">
                  <c:v>0.10536484321338371</c:v>
                </c:pt>
                <c:pt idx="57">
                  <c:v>0.10536484321338371</c:v>
                </c:pt>
                <c:pt idx="58">
                  <c:v>0.10536484321338371</c:v>
                </c:pt>
                <c:pt idx="59">
                  <c:v>0.10536484321338371</c:v>
                </c:pt>
                <c:pt idx="60">
                  <c:v>0.10536484321338371</c:v>
                </c:pt>
                <c:pt idx="61">
                  <c:v>0.10536484321338371</c:v>
                </c:pt>
                <c:pt idx="62">
                  <c:v>0.10536484321338371</c:v>
                </c:pt>
                <c:pt idx="63">
                  <c:v>0.10536484321338371</c:v>
                </c:pt>
                <c:pt idx="64">
                  <c:v>0.10536484321338371</c:v>
                </c:pt>
                <c:pt idx="65">
                  <c:v>0.10536484321338371</c:v>
                </c:pt>
                <c:pt idx="66">
                  <c:v>0.10536484321338371</c:v>
                </c:pt>
                <c:pt idx="67">
                  <c:v>0.10536484321338371</c:v>
                </c:pt>
                <c:pt idx="68">
                  <c:v>0.10536484321338371</c:v>
                </c:pt>
                <c:pt idx="69">
                  <c:v>0.10536484321338371</c:v>
                </c:pt>
                <c:pt idx="70">
                  <c:v>0.10536484321338371</c:v>
                </c:pt>
                <c:pt idx="71">
                  <c:v>0.10536484321338371</c:v>
                </c:pt>
                <c:pt idx="72">
                  <c:v>0.10536484321338371</c:v>
                </c:pt>
                <c:pt idx="73">
                  <c:v>0.10536484321338371</c:v>
                </c:pt>
                <c:pt idx="74">
                  <c:v>0.10536484321338371</c:v>
                </c:pt>
                <c:pt idx="75">
                  <c:v>0.10536484321338371</c:v>
                </c:pt>
                <c:pt idx="76">
                  <c:v>0.10536484321338371</c:v>
                </c:pt>
                <c:pt idx="77">
                  <c:v>0.10536484321338371</c:v>
                </c:pt>
                <c:pt idx="78">
                  <c:v>0.10536484321338371</c:v>
                </c:pt>
                <c:pt idx="79">
                  <c:v>0.10536484321338371</c:v>
                </c:pt>
                <c:pt idx="80">
                  <c:v>0.10536484321338371</c:v>
                </c:pt>
                <c:pt idx="81">
                  <c:v>0.10536484321338371</c:v>
                </c:pt>
                <c:pt idx="82">
                  <c:v>0.10536484321338371</c:v>
                </c:pt>
                <c:pt idx="83">
                  <c:v>0.10536484321338371</c:v>
                </c:pt>
                <c:pt idx="84">
                  <c:v>0.10536484321338371</c:v>
                </c:pt>
                <c:pt idx="85">
                  <c:v>0.10536484321338371</c:v>
                </c:pt>
                <c:pt idx="86">
                  <c:v>0.10536484321338371</c:v>
                </c:pt>
                <c:pt idx="87">
                  <c:v>0.10536484321338371</c:v>
                </c:pt>
                <c:pt idx="88">
                  <c:v>0.10536484321338371</c:v>
                </c:pt>
                <c:pt idx="89">
                  <c:v>0.10536484321338371</c:v>
                </c:pt>
                <c:pt idx="90">
                  <c:v>0.10536484321338371</c:v>
                </c:pt>
                <c:pt idx="91">
                  <c:v>0.10536484321338371</c:v>
                </c:pt>
                <c:pt idx="92">
                  <c:v>0.10536484321338371</c:v>
                </c:pt>
                <c:pt idx="93">
                  <c:v>0.10536484321338371</c:v>
                </c:pt>
                <c:pt idx="94">
                  <c:v>0.10536484321338371</c:v>
                </c:pt>
                <c:pt idx="95">
                  <c:v>0.10536484321338371</c:v>
                </c:pt>
                <c:pt idx="96">
                  <c:v>0.10536484321338371</c:v>
                </c:pt>
                <c:pt idx="97">
                  <c:v>0.10536484321338371</c:v>
                </c:pt>
                <c:pt idx="98">
                  <c:v>0.10536484321338371</c:v>
                </c:pt>
                <c:pt idx="99">
                  <c:v>0.10536484321338371</c:v>
                </c:pt>
                <c:pt idx="100">
                  <c:v>0.10536484321338371</c:v>
                </c:pt>
                <c:pt idx="101">
                  <c:v>0.10536484321338371</c:v>
                </c:pt>
                <c:pt idx="102">
                  <c:v>0.10536484321338371</c:v>
                </c:pt>
                <c:pt idx="103">
                  <c:v>0.10536484321338371</c:v>
                </c:pt>
                <c:pt idx="104">
                  <c:v>0.10536484321338371</c:v>
                </c:pt>
                <c:pt idx="105">
                  <c:v>0.10536484321338371</c:v>
                </c:pt>
                <c:pt idx="106">
                  <c:v>0.10536484321338371</c:v>
                </c:pt>
                <c:pt idx="107">
                  <c:v>0.10536484321338371</c:v>
                </c:pt>
                <c:pt idx="108">
                  <c:v>0.10536484321338371</c:v>
                </c:pt>
                <c:pt idx="109">
                  <c:v>0.10536484321338371</c:v>
                </c:pt>
                <c:pt idx="110">
                  <c:v>0.10536484321338371</c:v>
                </c:pt>
                <c:pt idx="111">
                  <c:v>0.10536484321338371</c:v>
                </c:pt>
                <c:pt idx="112">
                  <c:v>0.10536484321338371</c:v>
                </c:pt>
                <c:pt idx="113">
                  <c:v>0.10536484321338371</c:v>
                </c:pt>
                <c:pt idx="114">
                  <c:v>0.10536484321338371</c:v>
                </c:pt>
                <c:pt idx="115">
                  <c:v>0.10536484321338371</c:v>
                </c:pt>
                <c:pt idx="116">
                  <c:v>0.10536484321338371</c:v>
                </c:pt>
                <c:pt idx="117">
                  <c:v>0.10536484321338371</c:v>
                </c:pt>
                <c:pt idx="118">
                  <c:v>0.10536484321338371</c:v>
                </c:pt>
                <c:pt idx="119">
                  <c:v>0.10536484321338371</c:v>
                </c:pt>
                <c:pt idx="120">
                  <c:v>0.10536484321338371</c:v>
                </c:pt>
                <c:pt idx="121">
                  <c:v>0.10536484321338371</c:v>
                </c:pt>
                <c:pt idx="122">
                  <c:v>0.10536484321338371</c:v>
                </c:pt>
                <c:pt idx="123">
                  <c:v>0.10536484321338371</c:v>
                </c:pt>
                <c:pt idx="124">
                  <c:v>0.10536484321338371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1E-4708-9F35-648B0100F990}"/>
            </c:ext>
          </c:extLst>
        </c:ser>
        <c:ser>
          <c:idx val="1"/>
          <c:order val="1"/>
          <c:tx>
            <c:strRef>
              <c:f>'Len-24 Age -20'!$D$25</c:f>
              <c:strCache>
                <c:ptCount val="1"/>
                <c:pt idx="0">
                  <c:v>asc_scaled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ysDash"/>
            </a:ln>
          </c:spPr>
          <c:marker>
            <c:symbol val="none"/>
          </c:marker>
          <c:xVal>
            <c:numRef>
              <c:f>'Len-24 Age -20'!$B$26:$B$150</c:f>
              <c:numCache>
                <c:formatCode>General</c:formatCode>
                <c:ptCount val="1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</c:numCache>
            </c:numRef>
          </c:xVal>
          <c:yVal>
            <c:numRef>
              <c:f>'Len-24 Age -20'!$D$26:$D$150</c:f>
              <c:numCache>
                <c:formatCode>0.00</c:formatCode>
                <c:ptCount val="125"/>
                <c:pt idx="0">
                  <c:v>1.3637032707949703E-4</c:v>
                </c:pt>
                <c:pt idx="1">
                  <c:v>1.4000164568846256E-2</c:v>
                </c:pt>
                <c:pt idx="2">
                  <c:v>3.8845753425195549E-2</c:v>
                </c:pt>
                <c:pt idx="3">
                  <c:v>8.0212560678791955E-2</c:v>
                </c:pt>
                <c:pt idx="4">
                  <c:v>0.14405358963793702</c:v>
                </c:pt>
                <c:pt idx="5">
                  <c:v>0.23508905420839254</c:v>
                </c:pt>
                <c:pt idx="6">
                  <c:v>0.3544800166754738</c:v>
                </c:pt>
                <c:pt idx="7">
                  <c:v>0.49746360172038789</c:v>
                </c:pt>
                <c:pt idx="8">
                  <c:v>0.65199762411568263</c:v>
                </c:pt>
                <c:pt idx="9">
                  <c:v>0.79947442983415629</c:v>
                </c:pt>
                <c:pt idx="10">
                  <c:v>0.91797692315549306</c:v>
                </c:pt>
                <c:pt idx="11">
                  <c:v>0.9874847949961757</c:v>
                </c:pt>
                <c:pt idx="12">
                  <c:v>0.99538333483909647</c:v>
                </c:pt>
                <c:pt idx="13">
                  <c:v>0.94020111537886886</c:v>
                </c:pt>
                <c:pt idx="14">
                  <c:v>0.83205739227244269</c:v>
                </c:pt>
                <c:pt idx="15">
                  <c:v>0.68963266160472536</c:v>
                </c:pt>
                <c:pt idx="16">
                  <c:v>0.5349064163157139</c:v>
                </c:pt>
                <c:pt idx="17">
                  <c:v>0.38769302717420367</c:v>
                </c:pt>
                <c:pt idx="18">
                  <c:v>0.26180720539625729</c:v>
                </c:pt>
                <c:pt idx="19">
                  <c:v>0.16373515854489262</c:v>
                </c:pt>
                <c:pt idx="20">
                  <c:v>9.3568692392499223E-2</c:v>
                </c:pt>
                <c:pt idx="21">
                  <c:v>9.3568692392499223E-2</c:v>
                </c:pt>
                <c:pt idx="22">
                  <c:v>9.3568692392499223E-2</c:v>
                </c:pt>
                <c:pt idx="23">
                  <c:v>9.3568692392499223E-2</c:v>
                </c:pt>
                <c:pt idx="24">
                  <c:v>9.3568692392499223E-2</c:v>
                </c:pt>
                <c:pt idx="25">
                  <c:v>9.3568692392499223E-2</c:v>
                </c:pt>
                <c:pt idx="26">
                  <c:v>9.3568692392499223E-2</c:v>
                </c:pt>
                <c:pt idx="27">
                  <c:v>9.3568692392499223E-2</c:v>
                </c:pt>
                <c:pt idx="28">
                  <c:v>9.3568692392499223E-2</c:v>
                </c:pt>
                <c:pt idx="29">
                  <c:v>9.3568692392499223E-2</c:v>
                </c:pt>
                <c:pt idx="30">
                  <c:v>9.3568692392499223E-2</c:v>
                </c:pt>
                <c:pt idx="31">
                  <c:v>9.3568692392499223E-2</c:v>
                </c:pt>
                <c:pt idx="32">
                  <c:v>9.3568692392499223E-2</c:v>
                </c:pt>
                <c:pt idx="33">
                  <c:v>9.3568692392499223E-2</c:v>
                </c:pt>
                <c:pt idx="34">
                  <c:v>9.3568692392499223E-2</c:v>
                </c:pt>
                <c:pt idx="35">
                  <c:v>9.3568692392499223E-2</c:v>
                </c:pt>
                <c:pt idx="36">
                  <c:v>9.3568692392499223E-2</c:v>
                </c:pt>
                <c:pt idx="37">
                  <c:v>9.3568692392499223E-2</c:v>
                </c:pt>
                <c:pt idx="38">
                  <c:v>9.3568692392499223E-2</c:v>
                </c:pt>
                <c:pt idx="39">
                  <c:v>9.3568692392499223E-2</c:v>
                </c:pt>
                <c:pt idx="40">
                  <c:v>9.3568692392499223E-2</c:v>
                </c:pt>
                <c:pt idx="41">
                  <c:v>9.3568692392499223E-2</c:v>
                </c:pt>
                <c:pt idx="42">
                  <c:v>9.3568692392499223E-2</c:v>
                </c:pt>
                <c:pt idx="43">
                  <c:v>9.3568692392499223E-2</c:v>
                </c:pt>
                <c:pt idx="44">
                  <c:v>9.3568692392499223E-2</c:v>
                </c:pt>
                <c:pt idx="45">
                  <c:v>9.3568692392499223E-2</c:v>
                </c:pt>
                <c:pt idx="46">
                  <c:v>9.3568692392499223E-2</c:v>
                </c:pt>
                <c:pt idx="47">
                  <c:v>9.3568692392499223E-2</c:v>
                </c:pt>
                <c:pt idx="48">
                  <c:v>9.3568692392499223E-2</c:v>
                </c:pt>
                <c:pt idx="49">
                  <c:v>9.3568692392499223E-2</c:v>
                </c:pt>
                <c:pt idx="50">
                  <c:v>9.3568692392499223E-2</c:v>
                </c:pt>
                <c:pt idx="51">
                  <c:v>9.3568692392499223E-2</c:v>
                </c:pt>
                <c:pt idx="52">
                  <c:v>9.3568692392499223E-2</c:v>
                </c:pt>
                <c:pt idx="53">
                  <c:v>9.3568692392499223E-2</c:v>
                </c:pt>
                <c:pt idx="54">
                  <c:v>9.3568692392499223E-2</c:v>
                </c:pt>
                <c:pt idx="55">
                  <c:v>9.3568692392499223E-2</c:v>
                </c:pt>
                <c:pt idx="56">
                  <c:v>9.3568692392499223E-2</c:v>
                </c:pt>
                <c:pt idx="57">
                  <c:v>9.3568692392499223E-2</c:v>
                </c:pt>
                <c:pt idx="58">
                  <c:v>9.3568692392499223E-2</c:v>
                </c:pt>
                <c:pt idx="59">
                  <c:v>9.3568692392499223E-2</c:v>
                </c:pt>
                <c:pt idx="60">
                  <c:v>9.3568692392499223E-2</c:v>
                </c:pt>
                <c:pt idx="61">
                  <c:v>9.3568692392499223E-2</c:v>
                </c:pt>
                <c:pt idx="62">
                  <c:v>9.3568692392499223E-2</c:v>
                </c:pt>
                <c:pt idx="63">
                  <c:v>9.3568692392499223E-2</c:v>
                </c:pt>
                <c:pt idx="64">
                  <c:v>9.3568692392499223E-2</c:v>
                </c:pt>
                <c:pt idx="65">
                  <c:v>9.3568692392499223E-2</c:v>
                </c:pt>
                <c:pt idx="66">
                  <c:v>9.3568692392499223E-2</c:v>
                </c:pt>
                <c:pt idx="67">
                  <c:v>9.3568692392499223E-2</c:v>
                </c:pt>
                <c:pt idx="68">
                  <c:v>9.3568692392499223E-2</c:v>
                </c:pt>
                <c:pt idx="69">
                  <c:v>9.3568692392499223E-2</c:v>
                </c:pt>
                <c:pt idx="70">
                  <c:v>9.3568692392499223E-2</c:v>
                </c:pt>
                <c:pt idx="71">
                  <c:v>9.3568692392499223E-2</c:v>
                </c:pt>
                <c:pt idx="72">
                  <c:v>9.3568692392499223E-2</c:v>
                </c:pt>
                <c:pt idx="73">
                  <c:v>9.3568692392499223E-2</c:v>
                </c:pt>
                <c:pt idx="74">
                  <c:v>9.3568692392499223E-2</c:v>
                </c:pt>
                <c:pt idx="75">
                  <c:v>9.3568692392499223E-2</c:v>
                </c:pt>
                <c:pt idx="76">
                  <c:v>9.3568692392499223E-2</c:v>
                </c:pt>
                <c:pt idx="77">
                  <c:v>9.3568692392499223E-2</c:v>
                </c:pt>
                <c:pt idx="78">
                  <c:v>9.3568692392499223E-2</c:v>
                </c:pt>
                <c:pt idx="79">
                  <c:v>9.3568692392499223E-2</c:v>
                </c:pt>
                <c:pt idx="80">
                  <c:v>9.3568692392499223E-2</c:v>
                </c:pt>
                <c:pt idx="81">
                  <c:v>9.3568692392499223E-2</c:v>
                </c:pt>
                <c:pt idx="82">
                  <c:v>9.3568692392499223E-2</c:v>
                </c:pt>
                <c:pt idx="83">
                  <c:v>9.3568692392499223E-2</c:v>
                </c:pt>
                <c:pt idx="84">
                  <c:v>9.3568692392499223E-2</c:v>
                </c:pt>
                <c:pt idx="85">
                  <c:v>9.3568692392499223E-2</c:v>
                </c:pt>
                <c:pt idx="86">
                  <c:v>9.3568692392499223E-2</c:v>
                </c:pt>
                <c:pt idx="87">
                  <c:v>9.3568692392499223E-2</c:v>
                </c:pt>
                <c:pt idx="88">
                  <c:v>9.3568692392499223E-2</c:v>
                </c:pt>
                <c:pt idx="89">
                  <c:v>9.3568692392499223E-2</c:v>
                </c:pt>
                <c:pt idx="90">
                  <c:v>9.3568692392499223E-2</c:v>
                </c:pt>
                <c:pt idx="91">
                  <c:v>9.3568692392499223E-2</c:v>
                </c:pt>
                <c:pt idx="92">
                  <c:v>9.3568692392499223E-2</c:v>
                </c:pt>
                <c:pt idx="93">
                  <c:v>9.3568692392499223E-2</c:v>
                </c:pt>
                <c:pt idx="94">
                  <c:v>9.3568692392499223E-2</c:v>
                </c:pt>
                <c:pt idx="95">
                  <c:v>9.3568692392499223E-2</c:v>
                </c:pt>
                <c:pt idx="96">
                  <c:v>9.3568692392499223E-2</c:v>
                </c:pt>
                <c:pt idx="97">
                  <c:v>9.3568692392499223E-2</c:v>
                </c:pt>
                <c:pt idx="98">
                  <c:v>9.3568692392499223E-2</c:v>
                </c:pt>
                <c:pt idx="99">
                  <c:v>9.3568692392499223E-2</c:v>
                </c:pt>
                <c:pt idx="100">
                  <c:v>9.3568692392499223E-2</c:v>
                </c:pt>
                <c:pt idx="101">
                  <c:v>9.3568692392499223E-2</c:v>
                </c:pt>
                <c:pt idx="102">
                  <c:v>9.3568692392499223E-2</c:v>
                </c:pt>
                <c:pt idx="103">
                  <c:v>9.3568692392499223E-2</c:v>
                </c:pt>
                <c:pt idx="104">
                  <c:v>9.3568692392499223E-2</c:v>
                </c:pt>
                <c:pt idx="105">
                  <c:v>9.3568692392499223E-2</c:v>
                </c:pt>
                <c:pt idx="106">
                  <c:v>9.3568692392499223E-2</c:v>
                </c:pt>
                <c:pt idx="107">
                  <c:v>9.3568692392499223E-2</c:v>
                </c:pt>
                <c:pt idx="108">
                  <c:v>9.3568692392499223E-2</c:v>
                </c:pt>
                <c:pt idx="109">
                  <c:v>9.3568692392499223E-2</c:v>
                </c:pt>
                <c:pt idx="110">
                  <c:v>9.3568692392499223E-2</c:v>
                </c:pt>
                <c:pt idx="111">
                  <c:v>9.3568692392499223E-2</c:v>
                </c:pt>
                <c:pt idx="112">
                  <c:v>9.3568692392499223E-2</c:v>
                </c:pt>
                <c:pt idx="113">
                  <c:v>9.3568692392499223E-2</c:v>
                </c:pt>
                <c:pt idx="114">
                  <c:v>9.3568692392499223E-2</c:v>
                </c:pt>
                <c:pt idx="115">
                  <c:v>9.3568692392499223E-2</c:v>
                </c:pt>
                <c:pt idx="116">
                  <c:v>9.3568692392499223E-2</c:v>
                </c:pt>
                <c:pt idx="117">
                  <c:v>9.3568692392499223E-2</c:v>
                </c:pt>
                <c:pt idx="118">
                  <c:v>9.3568692392499223E-2</c:v>
                </c:pt>
                <c:pt idx="119">
                  <c:v>9.3568692392499223E-2</c:v>
                </c:pt>
                <c:pt idx="120">
                  <c:v>9.3568692392499223E-2</c:v>
                </c:pt>
                <c:pt idx="121">
                  <c:v>9.3568692392499223E-2</c:v>
                </c:pt>
                <c:pt idx="122">
                  <c:v>9.3568692392499223E-2</c:v>
                </c:pt>
                <c:pt idx="123">
                  <c:v>9.3568692392499223E-2</c:v>
                </c:pt>
                <c:pt idx="124">
                  <c:v>9.3568692392499223E-2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1E-4708-9F35-648B0100F990}"/>
            </c:ext>
          </c:extLst>
        </c:ser>
        <c:ser>
          <c:idx val="4"/>
          <c:order val="2"/>
          <c:tx>
            <c:strRef>
              <c:f>'Len-24 Age -20'!$F$25</c:f>
              <c:strCache>
                <c:ptCount val="1"/>
                <c:pt idx="0">
                  <c:v>desc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'Len-24 Age -20'!$B$26:$B$150</c:f>
              <c:numCache>
                <c:formatCode>General</c:formatCode>
                <c:ptCount val="1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</c:numCache>
            </c:numRef>
          </c:xVal>
          <c:yVal>
            <c:numRef>
              <c:f>'Len-24 Age -20'!$F$26:$F$150</c:f>
              <c:numCache>
                <c:formatCode>General</c:formatCode>
                <c:ptCount val="125"/>
                <c:pt idx="0">
                  <c:v>1.1402036948225244E-107</c:v>
                </c:pt>
                <c:pt idx="1">
                  <c:v>9.7278592960235245E-96</c:v>
                </c:pt>
                <c:pt idx="2">
                  <c:v>1.6352269958255333E-84</c:v>
                </c:pt>
                <c:pt idx="3">
                  <c:v>5.4158265597530492E-74</c:v>
                </c:pt>
                <c:pt idx="4">
                  <c:v>3.5340881582657985E-64</c:v>
                </c:pt>
                <c:pt idx="5">
                  <c:v>4.5437658328014295E-55</c:v>
                </c:pt>
                <c:pt idx="6">
                  <c:v>1.1510135486589626E-46</c:v>
                </c:pt>
                <c:pt idx="7">
                  <c:v>5.744746399473684E-39</c:v>
                </c:pt>
                <c:pt idx="8">
                  <c:v>5.6492034939753426E-32</c:v>
                </c:pt>
                <c:pt idx="9">
                  <c:v>1.0945346332632133E-25</c:v>
                </c:pt>
                <c:pt idx="10">
                  <c:v>4.1782818142952702E-20</c:v>
                </c:pt>
                <c:pt idx="11">
                  <c:v>3.1426200780242353E-15</c:v>
                </c:pt>
                <c:pt idx="12">
                  <c:v>4.6570614086582293E-11</c:v>
                </c:pt>
                <c:pt idx="13">
                  <c:v>1.3597465951477194E-7</c:v>
                </c:pt>
                <c:pt idx="14">
                  <c:v>7.8222182101251231E-5</c:v>
                </c:pt>
                <c:pt idx="15">
                  <c:v>8.8660016029607647E-3</c:v>
                </c:pt>
                <c:pt idx="16">
                  <c:v>0.19799381124935989</c:v>
                </c:pt>
                <c:pt idx="17">
                  <c:v>0.87116688249747953</c:v>
                </c:pt>
                <c:pt idx="18">
                  <c:v>0.75522616988786273</c:v>
                </c:pt>
                <c:pt idx="19">
                  <c:v>0.12899671045026653</c:v>
                </c:pt>
                <c:pt idx="20">
                  <c:v>4.3411637907833688E-3</c:v>
                </c:pt>
                <c:pt idx="21">
                  <c:v>4.3411637907833688E-3</c:v>
                </c:pt>
                <c:pt idx="22">
                  <c:v>4.3411637907833688E-3</c:v>
                </c:pt>
                <c:pt idx="23">
                  <c:v>4.3411637907833688E-3</c:v>
                </c:pt>
                <c:pt idx="24">
                  <c:v>4.3411637907833688E-3</c:v>
                </c:pt>
                <c:pt idx="25">
                  <c:v>4.3411637907833688E-3</c:v>
                </c:pt>
                <c:pt idx="26">
                  <c:v>4.3411637907833688E-3</c:v>
                </c:pt>
                <c:pt idx="27">
                  <c:v>4.3411637907833688E-3</c:v>
                </c:pt>
                <c:pt idx="28">
                  <c:v>4.3411637907833688E-3</c:v>
                </c:pt>
                <c:pt idx="29">
                  <c:v>4.3411637907833688E-3</c:v>
                </c:pt>
                <c:pt idx="30">
                  <c:v>4.3411637907833688E-3</c:v>
                </c:pt>
                <c:pt idx="31">
                  <c:v>4.3411637907833688E-3</c:v>
                </c:pt>
                <c:pt idx="32">
                  <c:v>4.3411637907833688E-3</c:v>
                </c:pt>
                <c:pt idx="33">
                  <c:v>4.3411637907833688E-3</c:v>
                </c:pt>
                <c:pt idx="34">
                  <c:v>4.3411637907833688E-3</c:v>
                </c:pt>
                <c:pt idx="35">
                  <c:v>4.3411637907833688E-3</c:v>
                </c:pt>
                <c:pt idx="36">
                  <c:v>4.3411637907833688E-3</c:v>
                </c:pt>
                <c:pt idx="37">
                  <c:v>4.3411637907833688E-3</c:v>
                </c:pt>
                <c:pt idx="38">
                  <c:v>4.3411637907833688E-3</c:v>
                </c:pt>
                <c:pt idx="39">
                  <c:v>4.3411637907833688E-3</c:v>
                </c:pt>
                <c:pt idx="40">
                  <c:v>4.3411637907833688E-3</c:v>
                </c:pt>
                <c:pt idx="41">
                  <c:v>4.3411637907833688E-3</c:v>
                </c:pt>
                <c:pt idx="42">
                  <c:v>4.3411637907833688E-3</c:v>
                </c:pt>
                <c:pt idx="43">
                  <c:v>4.3411637907833688E-3</c:v>
                </c:pt>
                <c:pt idx="44">
                  <c:v>4.3411637907833688E-3</c:v>
                </c:pt>
                <c:pt idx="45">
                  <c:v>4.3411637907833688E-3</c:v>
                </c:pt>
                <c:pt idx="46">
                  <c:v>4.3411637907833688E-3</c:v>
                </c:pt>
                <c:pt idx="47">
                  <c:v>4.3411637907833688E-3</c:v>
                </c:pt>
                <c:pt idx="48">
                  <c:v>4.3411637907833688E-3</c:v>
                </c:pt>
                <c:pt idx="49">
                  <c:v>4.3411637907833688E-3</c:v>
                </c:pt>
                <c:pt idx="50">
                  <c:v>4.3411637907833688E-3</c:v>
                </c:pt>
                <c:pt idx="51">
                  <c:v>4.3411637907833688E-3</c:v>
                </c:pt>
                <c:pt idx="52">
                  <c:v>4.3411637907833688E-3</c:v>
                </c:pt>
                <c:pt idx="53">
                  <c:v>4.3411637907833688E-3</c:v>
                </c:pt>
                <c:pt idx="54">
                  <c:v>4.3411637907833688E-3</c:v>
                </c:pt>
                <c:pt idx="55">
                  <c:v>4.3411637907833688E-3</c:v>
                </c:pt>
                <c:pt idx="56">
                  <c:v>4.3411637907833688E-3</c:v>
                </c:pt>
                <c:pt idx="57">
                  <c:v>4.3411637907833688E-3</c:v>
                </c:pt>
                <c:pt idx="58">
                  <c:v>4.3411637907833688E-3</c:v>
                </c:pt>
                <c:pt idx="59">
                  <c:v>4.3411637907833688E-3</c:v>
                </c:pt>
                <c:pt idx="60">
                  <c:v>4.3411637907833688E-3</c:v>
                </c:pt>
                <c:pt idx="61">
                  <c:v>4.3411637907833688E-3</c:v>
                </c:pt>
                <c:pt idx="62">
                  <c:v>4.3411637907833688E-3</c:v>
                </c:pt>
                <c:pt idx="63">
                  <c:v>4.3411637907833688E-3</c:v>
                </c:pt>
                <c:pt idx="64">
                  <c:v>4.3411637907833688E-3</c:v>
                </c:pt>
                <c:pt idx="65">
                  <c:v>4.3411637907833688E-3</c:v>
                </c:pt>
                <c:pt idx="66">
                  <c:v>4.3411637907833688E-3</c:v>
                </c:pt>
                <c:pt idx="67">
                  <c:v>4.3411637907833688E-3</c:v>
                </c:pt>
                <c:pt idx="68">
                  <c:v>4.3411637907833688E-3</c:v>
                </c:pt>
                <c:pt idx="69">
                  <c:v>4.3411637907833688E-3</c:v>
                </c:pt>
                <c:pt idx="70">
                  <c:v>4.3411637907833688E-3</c:v>
                </c:pt>
                <c:pt idx="71">
                  <c:v>4.3411637907833688E-3</c:v>
                </c:pt>
                <c:pt idx="72">
                  <c:v>4.3411637907833688E-3</c:v>
                </c:pt>
                <c:pt idx="73">
                  <c:v>4.3411637907833688E-3</c:v>
                </c:pt>
                <c:pt idx="74">
                  <c:v>4.3411637907833688E-3</c:v>
                </c:pt>
                <c:pt idx="75">
                  <c:v>4.3411637907833688E-3</c:v>
                </c:pt>
                <c:pt idx="76">
                  <c:v>4.3411637907833688E-3</c:v>
                </c:pt>
                <c:pt idx="77">
                  <c:v>4.3411637907833688E-3</c:v>
                </c:pt>
                <c:pt idx="78">
                  <c:v>4.3411637907833688E-3</c:v>
                </c:pt>
                <c:pt idx="79">
                  <c:v>4.3411637907833688E-3</c:v>
                </c:pt>
                <c:pt idx="80">
                  <c:v>4.3411637907833688E-3</c:v>
                </c:pt>
                <c:pt idx="81">
                  <c:v>4.3411637907833688E-3</c:v>
                </c:pt>
                <c:pt idx="82">
                  <c:v>4.3411637907833688E-3</c:v>
                </c:pt>
                <c:pt idx="83">
                  <c:v>4.3411637907833688E-3</c:v>
                </c:pt>
                <c:pt idx="84">
                  <c:v>4.3411637907833688E-3</c:v>
                </c:pt>
                <c:pt idx="85">
                  <c:v>4.3411637907833688E-3</c:v>
                </c:pt>
                <c:pt idx="86">
                  <c:v>4.3411637907833688E-3</c:v>
                </c:pt>
                <c:pt idx="87">
                  <c:v>4.3411637907833688E-3</c:v>
                </c:pt>
                <c:pt idx="88">
                  <c:v>4.3411637907833688E-3</c:v>
                </c:pt>
                <c:pt idx="89">
                  <c:v>4.3411637907833688E-3</c:v>
                </c:pt>
                <c:pt idx="90">
                  <c:v>4.3411637907833688E-3</c:v>
                </c:pt>
                <c:pt idx="91">
                  <c:v>4.3411637907833688E-3</c:v>
                </c:pt>
                <c:pt idx="92">
                  <c:v>4.3411637907833688E-3</c:v>
                </c:pt>
                <c:pt idx="93">
                  <c:v>4.3411637907833688E-3</c:v>
                </c:pt>
                <c:pt idx="94">
                  <c:v>4.3411637907833688E-3</c:v>
                </c:pt>
                <c:pt idx="95">
                  <c:v>4.3411637907833688E-3</c:v>
                </c:pt>
                <c:pt idx="96">
                  <c:v>4.3411637907833688E-3</c:v>
                </c:pt>
                <c:pt idx="97">
                  <c:v>4.3411637907833688E-3</c:v>
                </c:pt>
                <c:pt idx="98">
                  <c:v>4.3411637907833688E-3</c:v>
                </c:pt>
                <c:pt idx="99">
                  <c:v>4.3411637907833688E-3</c:v>
                </c:pt>
                <c:pt idx="100">
                  <c:v>4.3411637907833688E-3</c:v>
                </c:pt>
                <c:pt idx="101">
                  <c:v>4.3411637907833688E-3</c:v>
                </c:pt>
                <c:pt idx="102">
                  <c:v>4.3411637907833688E-3</c:v>
                </c:pt>
                <c:pt idx="103">
                  <c:v>4.3411637907833688E-3</c:v>
                </c:pt>
                <c:pt idx="104">
                  <c:v>4.3411637907833688E-3</c:v>
                </c:pt>
                <c:pt idx="105">
                  <c:v>4.3411637907833688E-3</c:v>
                </c:pt>
                <c:pt idx="106">
                  <c:v>4.3411637907833688E-3</c:v>
                </c:pt>
                <c:pt idx="107">
                  <c:v>4.3411637907833688E-3</c:v>
                </c:pt>
                <c:pt idx="108">
                  <c:v>4.3411637907833688E-3</c:v>
                </c:pt>
                <c:pt idx="109">
                  <c:v>4.3411637907833688E-3</c:v>
                </c:pt>
                <c:pt idx="110">
                  <c:v>4.3411637907833688E-3</c:v>
                </c:pt>
                <c:pt idx="111">
                  <c:v>4.3411637907833688E-3</c:v>
                </c:pt>
                <c:pt idx="112">
                  <c:v>4.3411637907833688E-3</c:v>
                </c:pt>
                <c:pt idx="113">
                  <c:v>4.3411637907833688E-3</c:v>
                </c:pt>
                <c:pt idx="114">
                  <c:v>4.3411637907833688E-3</c:v>
                </c:pt>
                <c:pt idx="115">
                  <c:v>4.3411637907833688E-3</c:v>
                </c:pt>
                <c:pt idx="116">
                  <c:v>4.3411637907833688E-3</c:v>
                </c:pt>
                <c:pt idx="117">
                  <c:v>4.3411637907833688E-3</c:v>
                </c:pt>
                <c:pt idx="118">
                  <c:v>4.3411637907833688E-3</c:v>
                </c:pt>
                <c:pt idx="119">
                  <c:v>4.3411637907833688E-3</c:v>
                </c:pt>
                <c:pt idx="120">
                  <c:v>4.3411637907833688E-3</c:v>
                </c:pt>
                <c:pt idx="121">
                  <c:v>4.3411637907833688E-3</c:v>
                </c:pt>
                <c:pt idx="122">
                  <c:v>4.3411637907833688E-3</c:v>
                </c:pt>
                <c:pt idx="123">
                  <c:v>4.3411637907833688E-3</c:v>
                </c:pt>
                <c:pt idx="124">
                  <c:v>4.3411637907833688E-3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1E-4708-9F35-648B0100F990}"/>
            </c:ext>
          </c:extLst>
        </c:ser>
        <c:ser>
          <c:idx val="5"/>
          <c:order val="3"/>
          <c:tx>
            <c:strRef>
              <c:f>'Len-24 Age -20'!$G$25</c:f>
              <c:strCache>
                <c:ptCount val="1"/>
                <c:pt idx="0">
                  <c:v>desc_scaled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'Len-24 Age -20'!$B$26:$B$150</c:f>
              <c:numCache>
                <c:formatCode>General</c:formatCode>
                <c:ptCount val="1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</c:numCache>
            </c:numRef>
          </c:xVal>
          <c:yVal>
            <c:numRef>
              <c:f>'Len-24 Age -20'!$G$26:$G$150</c:f>
              <c:numCache>
                <c:formatCode>0.00</c:formatCode>
                <c:ptCount val="125"/>
                <c:pt idx="0">
                  <c:v>0.53541299706895695</c:v>
                </c:pt>
                <c:pt idx="1">
                  <c:v>0.53541299706895695</c:v>
                </c:pt>
                <c:pt idx="2">
                  <c:v>0.53541299706895695</c:v>
                </c:pt>
                <c:pt idx="3">
                  <c:v>0.53541299706895695</c:v>
                </c:pt>
                <c:pt idx="4">
                  <c:v>0.53541299706895695</c:v>
                </c:pt>
                <c:pt idx="5">
                  <c:v>0.53541299706895695</c:v>
                </c:pt>
                <c:pt idx="6">
                  <c:v>0.53541299706895695</c:v>
                </c:pt>
                <c:pt idx="7">
                  <c:v>0.53541299706895695</c:v>
                </c:pt>
                <c:pt idx="8">
                  <c:v>0.53541299706895695</c:v>
                </c:pt>
                <c:pt idx="9">
                  <c:v>0.53541299706895695</c:v>
                </c:pt>
                <c:pt idx="10">
                  <c:v>0.53541299706895695</c:v>
                </c:pt>
                <c:pt idx="11">
                  <c:v>0.53541299706895829</c:v>
                </c:pt>
                <c:pt idx="12">
                  <c:v>0.53541299709059298</c:v>
                </c:pt>
                <c:pt idx="13">
                  <c:v>0.53541306024101643</c:v>
                </c:pt>
                <c:pt idx="14">
                  <c:v>0.53544933807810202</c:v>
                </c:pt>
                <c:pt idx="15">
                  <c:v>0.5395320261816583</c:v>
                </c:pt>
                <c:pt idx="16">
                  <c:v>0.62739834843619158</c:v>
                </c:pt>
                <c:pt idx="17">
                  <c:v>0.94014580806124115</c:v>
                </c:pt>
                <c:pt idx="18">
                  <c:v>0.88628125987224982</c:v>
                </c:pt>
                <c:pt idx="19">
                  <c:v>0.59534319216500986</c:v>
                </c:pt>
                <c:pt idx="20">
                  <c:v>0.53742984534374971</c:v>
                </c:pt>
                <c:pt idx="21">
                  <c:v>0.53742984534374971</c:v>
                </c:pt>
                <c:pt idx="22">
                  <c:v>0.53742984534374971</c:v>
                </c:pt>
                <c:pt idx="23">
                  <c:v>0.53742984534374971</c:v>
                </c:pt>
                <c:pt idx="24">
                  <c:v>0.53742984534374971</c:v>
                </c:pt>
                <c:pt idx="25">
                  <c:v>0.53742984534374971</c:v>
                </c:pt>
                <c:pt idx="26">
                  <c:v>0.53742984534374971</c:v>
                </c:pt>
                <c:pt idx="27">
                  <c:v>0.53742984534374971</c:v>
                </c:pt>
                <c:pt idx="28">
                  <c:v>0.53742984534374971</c:v>
                </c:pt>
                <c:pt idx="29">
                  <c:v>0.53742984534374971</c:v>
                </c:pt>
                <c:pt idx="30">
                  <c:v>0.53742984534374971</c:v>
                </c:pt>
                <c:pt idx="31">
                  <c:v>0.53742984534374971</c:v>
                </c:pt>
                <c:pt idx="32">
                  <c:v>0.53742984534374971</c:v>
                </c:pt>
                <c:pt idx="33">
                  <c:v>0.53742984534374971</c:v>
                </c:pt>
                <c:pt idx="34">
                  <c:v>0.53742984534374971</c:v>
                </c:pt>
                <c:pt idx="35">
                  <c:v>0.53742984534374971</c:v>
                </c:pt>
                <c:pt idx="36">
                  <c:v>0.53742984534374971</c:v>
                </c:pt>
                <c:pt idx="37">
                  <c:v>0.53742984534374971</c:v>
                </c:pt>
                <c:pt idx="38">
                  <c:v>0.53742984534374971</c:v>
                </c:pt>
                <c:pt idx="39">
                  <c:v>0.53742984534374971</c:v>
                </c:pt>
                <c:pt idx="40">
                  <c:v>0.53742984534374971</c:v>
                </c:pt>
                <c:pt idx="41">
                  <c:v>0.53742984534374971</c:v>
                </c:pt>
                <c:pt idx="42">
                  <c:v>0.53742984534374971</c:v>
                </c:pt>
                <c:pt idx="43">
                  <c:v>0.53742984534374971</c:v>
                </c:pt>
                <c:pt idx="44">
                  <c:v>0.53742984534374971</c:v>
                </c:pt>
                <c:pt idx="45">
                  <c:v>0.53742984534374971</c:v>
                </c:pt>
                <c:pt idx="46">
                  <c:v>0.53742984534374971</c:v>
                </c:pt>
                <c:pt idx="47">
                  <c:v>0.53742984534374971</c:v>
                </c:pt>
                <c:pt idx="48">
                  <c:v>0.53742984534374971</c:v>
                </c:pt>
                <c:pt idx="49">
                  <c:v>0.53742984534374971</c:v>
                </c:pt>
                <c:pt idx="50">
                  <c:v>0.53742984534374971</c:v>
                </c:pt>
                <c:pt idx="51">
                  <c:v>0.53742984534374971</c:v>
                </c:pt>
                <c:pt idx="52">
                  <c:v>0.53742984534374971</c:v>
                </c:pt>
                <c:pt idx="53">
                  <c:v>0.53742984534374971</c:v>
                </c:pt>
                <c:pt idx="54">
                  <c:v>0.53742984534374971</c:v>
                </c:pt>
                <c:pt idx="55">
                  <c:v>0.53742984534374971</c:v>
                </c:pt>
                <c:pt idx="56">
                  <c:v>0.53742984534374971</c:v>
                </c:pt>
                <c:pt idx="57">
                  <c:v>0.53742984534374971</c:v>
                </c:pt>
                <c:pt idx="58">
                  <c:v>0.53742984534374971</c:v>
                </c:pt>
                <c:pt idx="59">
                  <c:v>0.53742984534374971</c:v>
                </c:pt>
                <c:pt idx="60">
                  <c:v>0.53742984534374971</c:v>
                </c:pt>
                <c:pt idx="61">
                  <c:v>0.53742984534374971</c:v>
                </c:pt>
                <c:pt idx="62">
                  <c:v>0.53742984534374971</c:v>
                </c:pt>
                <c:pt idx="63">
                  <c:v>0.53742984534374971</c:v>
                </c:pt>
                <c:pt idx="64">
                  <c:v>0.53742984534374971</c:v>
                </c:pt>
                <c:pt idx="65">
                  <c:v>0.53742984534374971</c:v>
                </c:pt>
                <c:pt idx="66">
                  <c:v>0.53742984534374971</c:v>
                </c:pt>
                <c:pt idx="67">
                  <c:v>0.53742984534374971</c:v>
                </c:pt>
                <c:pt idx="68">
                  <c:v>0.53742984534374971</c:v>
                </c:pt>
                <c:pt idx="69">
                  <c:v>0.53742984534374971</c:v>
                </c:pt>
                <c:pt idx="70">
                  <c:v>0.53742984534374971</c:v>
                </c:pt>
                <c:pt idx="71">
                  <c:v>0.53742984534374971</c:v>
                </c:pt>
                <c:pt idx="72">
                  <c:v>0.53742984534374971</c:v>
                </c:pt>
                <c:pt idx="73">
                  <c:v>0.53742984534374971</c:v>
                </c:pt>
                <c:pt idx="74">
                  <c:v>0.53742984534374971</c:v>
                </c:pt>
                <c:pt idx="75">
                  <c:v>0.53742984534374971</c:v>
                </c:pt>
                <c:pt idx="76">
                  <c:v>0.53742984534374971</c:v>
                </c:pt>
                <c:pt idx="77">
                  <c:v>0.53742984534374971</c:v>
                </c:pt>
                <c:pt idx="78">
                  <c:v>0.53742984534374971</c:v>
                </c:pt>
                <c:pt idx="79">
                  <c:v>0.53742984534374971</c:v>
                </c:pt>
                <c:pt idx="80">
                  <c:v>0.53742984534374971</c:v>
                </c:pt>
                <c:pt idx="81">
                  <c:v>0.53742984534374971</c:v>
                </c:pt>
                <c:pt idx="82">
                  <c:v>0.53742984534374971</c:v>
                </c:pt>
                <c:pt idx="83">
                  <c:v>0.53742984534374971</c:v>
                </c:pt>
                <c:pt idx="84">
                  <c:v>0.53742984534374971</c:v>
                </c:pt>
                <c:pt idx="85">
                  <c:v>0.53742984534374971</c:v>
                </c:pt>
                <c:pt idx="86">
                  <c:v>0.53742984534374971</c:v>
                </c:pt>
                <c:pt idx="87">
                  <c:v>0.53742984534374971</c:v>
                </c:pt>
                <c:pt idx="88">
                  <c:v>0.53742984534374971</c:v>
                </c:pt>
                <c:pt idx="89">
                  <c:v>0.53742984534374971</c:v>
                </c:pt>
                <c:pt idx="90">
                  <c:v>0.53742984534374971</c:v>
                </c:pt>
                <c:pt idx="91">
                  <c:v>0.53742984534374971</c:v>
                </c:pt>
                <c:pt idx="92">
                  <c:v>0.53742984534374971</c:v>
                </c:pt>
                <c:pt idx="93">
                  <c:v>0.53742984534374971</c:v>
                </c:pt>
                <c:pt idx="94">
                  <c:v>0.53742984534374971</c:v>
                </c:pt>
                <c:pt idx="95">
                  <c:v>0.53742984534374971</c:v>
                </c:pt>
                <c:pt idx="96">
                  <c:v>0.53742984534374971</c:v>
                </c:pt>
                <c:pt idx="97">
                  <c:v>0.53742984534374971</c:v>
                </c:pt>
                <c:pt idx="98">
                  <c:v>0.53742984534374971</c:v>
                </c:pt>
                <c:pt idx="99">
                  <c:v>0.53742984534374971</c:v>
                </c:pt>
                <c:pt idx="100">
                  <c:v>0.53742984534374971</c:v>
                </c:pt>
                <c:pt idx="101">
                  <c:v>0.53742984534374971</c:v>
                </c:pt>
                <c:pt idx="102">
                  <c:v>0.53742984534374971</c:v>
                </c:pt>
                <c:pt idx="103">
                  <c:v>0.53742984534374971</c:v>
                </c:pt>
                <c:pt idx="104">
                  <c:v>0.53742984534374971</c:v>
                </c:pt>
                <c:pt idx="105">
                  <c:v>0.53742984534374971</c:v>
                </c:pt>
                <c:pt idx="106">
                  <c:v>0.53742984534374971</c:v>
                </c:pt>
                <c:pt idx="107">
                  <c:v>0.53742984534374971</c:v>
                </c:pt>
                <c:pt idx="108">
                  <c:v>0.53742984534374971</c:v>
                </c:pt>
                <c:pt idx="109">
                  <c:v>0.53742984534374971</c:v>
                </c:pt>
                <c:pt idx="110">
                  <c:v>0.53742984534374971</c:v>
                </c:pt>
                <c:pt idx="111">
                  <c:v>0.53742984534374971</c:v>
                </c:pt>
                <c:pt idx="112">
                  <c:v>0.53742984534374971</c:v>
                </c:pt>
                <c:pt idx="113">
                  <c:v>0.53742984534374971</c:v>
                </c:pt>
                <c:pt idx="114">
                  <c:v>0.53742984534374971</c:v>
                </c:pt>
                <c:pt idx="115">
                  <c:v>0.53742984534374971</c:v>
                </c:pt>
                <c:pt idx="116">
                  <c:v>0.53742984534374971</c:v>
                </c:pt>
                <c:pt idx="117">
                  <c:v>0.53742984534374971</c:v>
                </c:pt>
                <c:pt idx="118">
                  <c:v>0.53742984534374971</c:v>
                </c:pt>
                <c:pt idx="119">
                  <c:v>0.53742984534374971</c:v>
                </c:pt>
                <c:pt idx="120">
                  <c:v>0.53742984534374971</c:v>
                </c:pt>
                <c:pt idx="121">
                  <c:v>0.53742984534374971</c:v>
                </c:pt>
                <c:pt idx="122">
                  <c:v>0.53742984534374971</c:v>
                </c:pt>
                <c:pt idx="123">
                  <c:v>0.53742984534374971</c:v>
                </c:pt>
                <c:pt idx="124">
                  <c:v>0.53742984534374971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1E-4708-9F35-648B0100F990}"/>
            </c:ext>
          </c:extLst>
        </c:ser>
        <c:ser>
          <c:idx val="6"/>
          <c:order val="4"/>
          <c:tx>
            <c:strRef>
              <c:f>'Len-24 Age -20'!$H$25</c:f>
              <c:strCache>
                <c:ptCount val="1"/>
                <c:pt idx="0">
                  <c:v>join1</c:v>
                </c:pt>
              </c:strCache>
            </c:strRef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'Len-24 Age -20'!$B$26:$B$150</c:f>
              <c:numCache>
                <c:formatCode>General</c:formatCode>
                <c:ptCount val="1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</c:numCache>
            </c:numRef>
          </c:xVal>
          <c:yVal>
            <c:numRef>
              <c:f>'Len-24 Age -20'!$H$26:$H$150</c:f>
              <c:numCache>
                <c:formatCode>0.0000</c:formatCode>
                <c:ptCount val="125"/>
                <c:pt idx="0">
                  <c:v>1.0051535882333532E-8</c:v>
                </c:pt>
                <c:pt idx="1">
                  <c:v>1.1519614508085382E-8</c:v>
                </c:pt>
                <c:pt idx="2">
                  <c:v>1.3545359968800584E-8</c:v>
                </c:pt>
                <c:pt idx="3">
                  <c:v>1.6472727899238821E-8</c:v>
                </c:pt>
                <c:pt idx="4">
                  <c:v>2.0962849882477741E-8</c:v>
                </c:pt>
                <c:pt idx="5">
                  <c:v>2.8418560563148419E-8</c:v>
                </c:pt>
                <c:pt idx="6">
                  <c:v>4.2234091197567787E-8</c:v>
                </c:pt>
                <c:pt idx="7">
                  <c:v>7.2264934016208986E-8</c:v>
                </c:pt>
                <c:pt idx="8">
                  <c:v>1.5599674537051544E-7</c:v>
                </c:pt>
                <c:pt idx="9">
                  <c:v>5.149974326757335E-7</c:v>
                </c:pt>
                <c:pt idx="10">
                  <c:v>4.227142830207725E-6</c:v>
                </c:pt>
                <c:pt idx="11">
                  <c:v>4.6449122547397053E-4</c:v>
                </c:pt>
                <c:pt idx="12">
                  <c:v>0.99584752512679764</c:v>
                </c:pt>
                <c:pt idx="13">
                  <c:v>0.99999071822497254</c:v>
                </c:pt>
                <c:pt idx="14">
                  <c:v>0.99999923108533328</c:v>
                </c:pt>
                <c:pt idx="15">
                  <c:v>0.99999980122215804</c:v>
                </c:pt>
                <c:pt idx="16">
                  <c:v>0.99999991500985674</c:v>
                </c:pt>
                <c:pt idx="17">
                  <c:v>0.99999995256596286</c:v>
                </c:pt>
                <c:pt idx="18">
                  <c:v>0.99999996899191446</c:v>
                </c:pt>
                <c:pt idx="19">
                  <c:v>0.99999997756457082</c:v>
                </c:pt>
                <c:pt idx="20">
                  <c:v>0.99999998260725509</c:v>
                </c:pt>
                <c:pt idx="21">
                  <c:v>0.99999998260725509</c:v>
                </c:pt>
                <c:pt idx="22">
                  <c:v>0.99999998260725509</c:v>
                </c:pt>
                <c:pt idx="23">
                  <c:v>0.99999998260725509</c:v>
                </c:pt>
                <c:pt idx="24">
                  <c:v>0.99999998260725509</c:v>
                </c:pt>
                <c:pt idx="25">
                  <c:v>0.99999998260725509</c:v>
                </c:pt>
                <c:pt idx="26">
                  <c:v>0.99999998260725509</c:v>
                </c:pt>
                <c:pt idx="27">
                  <c:v>0.99999998260725509</c:v>
                </c:pt>
                <c:pt idx="28">
                  <c:v>0.99999998260725509</c:v>
                </c:pt>
                <c:pt idx="29">
                  <c:v>0.99999998260725509</c:v>
                </c:pt>
                <c:pt idx="30">
                  <c:v>0.99999998260725509</c:v>
                </c:pt>
                <c:pt idx="31">
                  <c:v>0.99999998260725509</c:v>
                </c:pt>
                <c:pt idx="32">
                  <c:v>0.99999998260725509</c:v>
                </c:pt>
                <c:pt idx="33">
                  <c:v>0.99999998260725509</c:v>
                </c:pt>
                <c:pt idx="34">
                  <c:v>0.99999998260725509</c:v>
                </c:pt>
                <c:pt idx="35">
                  <c:v>0.99999998260725509</c:v>
                </c:pt>
                <c:pt idx="36">
                  <c:v>0.99999998260725509</c:v>
                </c:pt>
                <c:pt idx="37">
                  <c:v>0.99999998260725509</c:v>
                </c:pt>
                <c:pt idx="38">
                  <c:v>0.99999998260725509</c:v>
                </c:pt>
                <c:pt idx="39">
                  <c:v>0.99999998260725509</c:v>
                </c:pt>
                <c:pt idx="40">
                  <c:v>0.99999998260725509</c:v>
                </c:pt>
                <c:pt idx="41">
                  <c:v>0.99999998260725509</c:v>
                </c:pt>
                <c:pt idx="42">
                  <c:v>0.99999998260725509</c:v>
                </c:pt>
                <c:pt idx="43">
                  <c:v>0.99999998260725509</c:v>
                </c:pt>
                <c:pt idx="44">
                  <c:v>0.99999998260725509</c:v>
                </c:pt>
                <c:pt idx="45">
                  <c:v>0.99999998260725509</c:v>
                </c:pt>
                <c:pt idx="46">
                  <c:v>0.99999998260725509</c:v>
                </c:pt>
                <c:pt idx="47">
                  <c:v>0.99999998260725509</c:v>
                </c:pt>
                <c:pt idx="48">
                  <c:v>0.99999998260725509</c:v>
                </c:pt>
                <c:pt idx="49">
                  <c:v>0.99999998260725509</c:v>
                </c:pt>
                <c:pt idx="50">
                  <c:v>0.99999998260725509</c:v>
                </c:pt>
                <c:pt idx="51">
                  <c:v>0.99999998260725509</c:v>
                </c:pt>
                <c:pt idx="52">
                  <c:v>0.99999998260725509</c:v>
                </c:pt>
                <c:pt idx="53">
                  <c:v>0.99999998260725509</c:v>
                </c:pt>
                <c:pt idx="54">
                  <c:v>0.99999998260725509</c:v>
                </c:pt>
                <c:pt idx="55">
                  <c:v>0.99999998260725509</c:v>
                </c:pt>
                <c:pt idx="56">
                  <c:v>0.99999998260725509</c:v>
                </c:pt>
                <c:pt idx="57">
                  <c:v>0.99999998260725509</c:v>
                </c:pt>
                <c:pt idx="58">
                  <c:v>0.99999998260725509</c:v>
                </c:pt>
                <c:pt idx="59">
                  <c:v>0.99999998260725509</c:v>
                </c:pt>
                <c:pt idx="60">
                  <c:v>0.99999998260725509</c:v>
                </c:pt>
                <c:pt idx="61">
                  <c:v>0.99999998260725509</c:v>
                </c:pt>
                <c:pt idx="62">
                  <c:v>0.99999998260725509</c:v>
                </c:pt>
                <c:pt idx="63">
                  <c:v>0.99999998260725509</c:v>
                </c:pt>
                <c:pt idx="64">
                  <c:v>0.99999998260725509</c:v>
                </c:pt>
                <c:pt idx="65">
                  <c:v>0.99999998260725509</c:v>
                </c:pt>
                <c:pt idx="66">
                  <c:v>0.99999998260725509</c:v>
                </c:pt>
                <c:pt idx="67">
                  <c:v>0.99999998260725509</c:v>
                </c:pt>
                <c:pt idx="68">
                  <c:v>0.99999998260725509</c:v>
                </c:pt>
                <c:pt idx="69">
                  <c:v>0.99999998260725509</c:v>
                </c:pt>
                <c:pt idx="70">
                  <c:v>0.99999998260725509</c:v>
                </c:pt>
                <c:pt idx="71">
                  <c:v>0.99999998260725509</c:v>
                </c:pt>
                <c:pt idx="72">
                  <c:v>0.99999998260725509</c:v>
                </c:pt>
                <c:pt idx="73">
                  <c:v>0.99999998260725509</c:v>
                </c:pt>
                <c:pt idx="74">
                  <c:v>0.99999998260725509</c:v>
                </c:pt>
                <c:pt idx="75">
                  <c:v>0.99999998260725509</c:v>
                </c:pt>
                <c:pt idx="76">
                  <c:v>0.99999998260725509</c:v>
                </c:pt>
                <c:pt idx="77">
                  <c:v>0.99999998260725509</c:v>
                </c:pt>
                <c:pt idx="78">
                  <c:v>0.99999998260725509</c:v>
                </c:pt>
                <c:pt idx="79">
                  <c:v>0.99999998260725509</c:v>
                </c:pt>
                <c:pt idx="80">
                  <c:v>0.99999998260725509</c:v>
                </c:pt>
                <c:pt idx="81">
                  <c:v>0.99999998260725509</c:v>
                </c:pt>
                <c:pt idx="82">
                  <c:v>0.99999998260725509</c:v>
                </c:pt>
                <c:pt idx="83">
                  <c:v>0.99999998260725509</c:v>
                </c:pt>
                <c:pt idx="84">
                  <c:v>0.99999998260725509</c:v>
                </c:pt>
                <c:pt idx="85">
                  <c:v>0.99999998260725509</c:v>
                </c:pt>
                <c:pt idx="86">
                  <c:v>0.99999998260725509</c:v>
                </c:pt>
                <c:pt idx="87">
                  <c:v>0.99999998260725509</c:v>
                </c:pt>
                <c:pt idx="88">
                  <c:v>0.99999998260725509</c:v>
                </c:pt>
                <c:pt idx="89">
                  <c:v>0.99999998260725509</c:v>
                </c:pt>
                <c:pt idx="90">
                  <c:v>0.99999998260725509</c:v>
                </c:pt>
                <c:pt idx="91">
                  <c:v>0.99999998260725509</c:v>
                </c:pt>
                <c:pt idx="92">
                  <c:v>0.99999998260725509</c:v>
                </c:pt>
                <c:pt idx="93">
                  <c:v>0.99999998260725509</c:v>
                </c:pt>
                <c:pt idx="94">
                  <c:v>0.99999998260725509</c:v>
                </c:pt>
                <c:pt idx="95">
                  <c:v>0.99999998260725509</c:v>
                </c:pt>
                <c:pt idx="96">
                  <c:v>0.99999998260725509</c:v>
                </c:pt>
                <c:pt idx="97">
                  <c:v>0.99999998260725509</c:v>
                </c:pt>
                <c:pt idx="98">
                  <c:v>0.99999998260725509</c:v>
                </c:pt>
                <c:pt idx="99">
                  <c:v>0.99999998260725509</c:v>
                </c:pt>
                <c:pt idx="100">
                  <c:v>0.99999998260725509</c:v>
                </c:pt>
                <c:pt idx="101">
                  <c:v>0.99999998260725509</c:v>
                </c:pt>
                <c:pt idx="102">
                  <c:v>0.99999998260725509</c:v>
                </c:pt>
                <c:pt idx="103">
                  <c:v>0.99999998260725509</c:v>
                </c:pt>
                <c:pt idx="104">
                  <c:v>0.99999998260725509</c:v>
                </c:pt>
                <c:pt idx="105">
                  <c:v>0.99999998260725509</c:v>
                </c:pt>
                <c:pt idx="106">
                  <c:v>0.99999998260725509</c:v>
                </c:pt>
                <c:pt idx="107">
                  <c:v>0.99999998260725509</c:v>
                </c:pt>
                <c:pt idx="108">
                  <c:v>0.99999998260725509</c:v>
                </c:pt>
                <c:pt idx="109">
                  <c:v>0.99999998260725509</c:v>
                </c:pt>
                <c:pt idx="110">
                  <c:v>0.99999998260725509</c:v>
                </c:pt>
                <c:pt idx="111">
                  <c:v>0.99999998260725509</c:v>
                </c:pt>
                <c:pt idx="112">
                  <c:v>0.99999998260725509</c:v>
                </c:pt>
                <c:pt idx="113">
                  <c:v>0.99999998260725509</c:v>
                </c:pt>
                <c:pt idx="114">
                  <c:v>0.99999998260725509</c:v>
                </c:pt>
                <c:pt idx="115">
                  <c:v>0.99999998260725509</c:v>
                </c:pt>
                <c:pt idx="116">
                  <c:v>0.99999998260725509</c:v>
                </c:pt>
                <c:pt idx="117">
                  <c:v>0.99999998260725509</c:v>
                </c:pt>
                <c:pt idx="118">
                  <c:v>0.99999998260725509</c:v>
                </c:pt>
                <c:pt idx="119">
                  <c:v>0.99999998260725509</c:v>
                </c:pt>
                <c:pt idx="120">
                  <c:v>0.99999998260725509</c:v>
                </c:pt>
                <c:pt idx="121">
                  <c:v>0.99999998260725509</c:v>
                </c:pt>
                <c:pt idx="122">
                  <c:v>0.99999998260725509</c:v>
                </c:pt>
                <c:pt idx="123">
                  <c:v>0.99999998260725509</c:v>
                </c:pt>
                <c:pt idx="124">
                  <c:v>0.99999998260725509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1E-4708-9F35-648B0100F990}"/>
            </c:ext>
          </c:extLst>
        </c:ser>
        <c:ser>
          <c:idx val="7"/>
          <c:order val="5"/>
          <c:tx>
            <c:strRef>
              <c:f>'Len-24 Age -20'!$I$25</c:f>
              <c:strCache>
                <c:ptCount val="1"/>
                <c:pt idx="0">
                  <c:v>join2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9900"/>
                </a:solidFill>
                <a:prstDash val="solid"/>
              </a:ln>
            </c:spPr>
          </c:marker>
          <c:xVal>
            <c:numRef>
              <c:f>'Len-24 Age -20'!$B$26:$B$150</c:f>
              <c:numCache>
                <c:formatCode>General</c:formatCode>
                <c:ptCount val="1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</c:numCache>
            </c:numRef>
          </c:xVal>
          <c:yVal>
            <c:numRef>
              <c:f>'Len-24 Age -20'!$I$26:$I$150</c:f>
              <c:numCache>
                <c:formatCode>0.0000</c:formatCode>
                <c:ptCount val="125"/>
                <c:pt idx="0">
                  <c:v>6.1074487357380518E-9</c:v>
                </c:pt>
                <c:pt idx="1">
                  <c:v>6.5005942153413998E-9</c:v>
                </c:pt>
                <c:pt idx="2">
                  <c:v>6.9718478965156603E-9</c:v>
                </c:pt>
                <c:pt idx="3">
                  <c:v>7.5454828881415544E-9</c:v>
                </c:pt>
                <c:pt idx="4">
                  <c:v>8.2564147245405937E-9</c:v>
                </c:pt>
                <c:pt idx="5">
                  <c:v>9.1564513058262923E-9</c:v>
                </c:pt>
                <c:pt idx="6">
                  <c:v>1.032531995052745E-8</c:v>
                </c:pt>
                <c:pt idx="7">
                  <c:v>1.189115107929698E-8</c:v>
                </c:pt>
                <c:pt idx="8">
                  <c:v>1.4070935534903978E-8</c:v>
                </c:pt>
                <c:pt idx="9">
                  <c:v>1.7256593968372253E-8</c:v>
                </c:pt>
                <c:pt idx="10">
                  <c:v>2.221568774436524E-8</c:v>
                </c:pt>
                <c:pt idx="11">
                  <c:v>3.0617239358082016E-8</c:v>
                </c:pt>
                <c:pt idx="12">
                  <c:v>4.6636234704627402E-8</c:v>
                </c:pt>
                <c:pt idx="13">
                  <c:v>8.2988471930195916E-8</c:v>
                </c:pt>
                <c:pt idx="14">
                  <c:v>1.9176556895695153E-7</c:v>
                </c:pt>
                <c:pt idx="15">
                  <c:v>7.2399904327073174E-7</c:v>
                </c:pt>
                <c:pt idx="16">
                  <c:v>8.224328401623784E-6</c:v>
                </c:pt>
                <c:pt idx="17">
                  <c:v>2.9105161838984556E-3</c:v>
                </c:pt>
                <c:pt idx="18">
                  <c:v>0.99939210258240685</c:v>
                </c:pt>
                <c:pt idx="19">
                  <c:v>0.99999531800605457</c:v>
                </c:pt>
                <c:pt idx="20">
                  <c:v>0.99999945677277813</c:v>
                </c:pt>
                <c:pt idx="21">
                  <c:v>0.99999945677277813</c:v>
                </c:pt>
                <c:pt idx="22">
                  <c:v>0.99999945677277813</c:v>
                </c:pt>
                <c:pt idx="23">
                  <c:v>0.99999945677277813</c:v>
                </c:pt>
                <c:pt idx="24">
                  <c:v>0.99999945677277813</c:v>
                </c:pt>
                <c:pt idx="25">
                  <c:v>0.99999945677277813</c:v>
                </c:pt>
                <c:pt idx="26">
                  <c:v>0.99999945677277813</c:v>
                </c:pt>
                <c:pt idx="27">
                  <c:v>0.99999945677277813</c:v>
                </c:pt>
                <c:pt idx="28">
                  <c:v>0.99999945677277813</c:v>
                </c:pt>
                <c:pt idx="29">
                  <c:v>0.99999945677277813</c:v>
                </c:pt>
                <c:pt idx="30">
                  <c:v>0.99999945677277813</c:v>
                </c:pt>
                <c:pt idx="31">
                  <c:v>0.99999945677277813</c:v>
                </c:pt>
                <c:pt idx="32">
                  <c:v>0.99999945677277813</c:v>
                </c:pt>
                <c:pt idx="33">
                  <c:v>0.99999945677277813</c:v>
                </c:pt>
                <c:pt idx="34">
                  <c:v>0.99999945677277813</c:v>
                </c:pt>
                <c:pt idx="35">
                  <c:v>0.99999945677277813</c:v>
                </c:pt>
                <c:pt idx="36">
                  <c:v>0.99999945677277813</c:v>
                </c:pt>
                <c:pt idx="37">
                  <c:v>0.99999945677277813</c:v>
                </c:pt>
                <c:pt idx="38">
                  <c:v>0.99999945677277813</c:v>
                </c:pt>
                <c:pt idx="39">
                  <c:v>0.99999945677277813</c:v>
                </c:pt>
                <c:pt idx="40">
                  <c:v>0.99999945677277813</c:v>
                </c:pt>
                <c:pt idx="41">
                  <c:v>0.99999945677277813</c:v>
                </c:pt>
                <c:pt idx="42">
                  <c:v>0.99999945677277813</c:v>
                </c:pt>
                <c:pt idx="43">
                  <c:v>0.99999945677277813</c:v>
                </c:pt>
                <c:pt idx="44">
                  <c:v>0.99999945677277813</c:v>
                </c:pt>
                <c:pt idx="45">
                  <c:v>0.99999945677277813</c:v>
                </c:pt>
                <c:pt idx="46">
                  <c:v>0.99999945677277813</c:v>
                </c:pt>
                <c:pt idx="47">
                  <c:v>0.99999945677277813</c:v>
                </c:pt>
                <c:pt idx="48">
                  <c:v>0.99999945677277813</c:v>
                </c:pt>
                <c:pt idx="49">
                  <c:v>0.99999945677277813</c:v>
                </c:pt>
                <c:pt idx="50">
                  <c:v>0.99999945677277813</c:v>
                </c:pt>
                <c:pt idx="51">
                  <c:v>0.99999945677277813</c:v>
                </c:pt>
                <c:pt idx="52">
                  <c:v>0.99999945677277813</c:v>
                </c:pt>
                <c:pt idx="53">
                  <c:v>0.99999945677277813</c:v>
                </c:pt>
                <c:pt idx="54">
                  <c:v>0.99999945677277813</c:v>
                </c:pt>
                <c:pt idx="55">
                  <c:v>0.99999945677277813</c:v>
                </c:pt>
                <c:pt idx="56">
                  <c:v>0.99999945677277813</c:v>
                </c:pt>
                <c:pt idx="57">
                  <c:v>0.99999945677277813</c:v>
                </c:pt>
                <c:pt idx="58">
                  <c:v>0.99999945677277813</c:v>
                </c:pt>
                <c:pt idx="59">
                  <c:v>0.99999945677277813</c:v>
                </c:pt>
                <c:pt idx="60">
                  <c:v>0.99999945677277813</c:v>
                </c:pt>
                <c:pt idx="61">
                  <c:v>0.99999945677277813</c:v>
                </c:pt>
                <c:pt idx="62">
                  <c:v>0.99999945677277813</c:v>
                </c:pt>
                <c:pt idx="63">
                  <c:v>0.99999945677277813</c:v>
                </c:pt>
                <c:pt idx="64">
                  <c:v>0.99999945677277813</c:v>
                </c:pt>
                <c:pt idx="65">
                  <c:v>0.99999945677277813</c:v>
                </c:pt>
                <c:pt idx="66">
                  <c:v>0.99999945677277813</c:v>
                </c:pt>
                <c:pt idx="67">
                  <c:v>0.99999945677277813</c:v>
                </c:pt>
                <c:pt idx="68">
                  <c:v>0.99999945677277813</c:v>
                </c:pt>
                <c:pt idx="69">
                  <c:v>0.99999945677277813</c:v>
                </c:pt>
                <c:pt idx="70">
                  <c:v>0.99999945677277813</c:v>
                </c:pt>
                <c:pt idx="71">
                  <c:v>0.99999945677277813</c:v>
                </c:pt>
                <c:pt idx="72">
                  <c:v>0.99999945677277813</c:v>
                </c:pt>
                <c:pt idx="73">
                  <c:v>0.99999945677277813</c:v>
                </c:pt>
                <c:pt idx="74">
                  <c:v>0.99999945677277813</c:v>
                </c:pt>
                <c:pt idx="75">
                  <c:v>0.99999945677277813</c:v>
                </c:pt>
                <c:pt idx="76">
                  <c:v>0.99999945677277813</c:v>
                </c:pt>
                <c:pt idx="77">
                  <c:v>0.99999945677277813</c:v>
                </c:pt>
                <c:pt idx="78">
                  <c:v>0.99999945677277813</c:v>
                </c:pt>
                <c:pt idx="79">
                  <c:v>0.99999945677277813</c:v>
                </c:pt>
                <c:pt idx="80">
                  <c:v>0.99999945677277813</c:v>
                </c:pt>
                <c:pt idx="81">
                  <c:v>0.99999945677277813</c:v>
                </c:pt>
                <c:pt idx="82">
                  <c:v>0.99999945677277813</c:v>
                </c:pt>
                <c:pt idx="83">
                  <c:v>0.99999945677277813</c:v>
                </c:pt>
                <c:pt idx="84">
                  <c:v>0.99999945677277813</c:v>
                </c:pt>
                <c:pt idx="85">
                  <c:v>0.99999945677277813</c:v>
                </c:pt>
                <c:pt idx="86">
                  <c:v>0.99999945677277813</c:v>
                </c:pt>
                <c:pt idx="87">
                  <c:v>0.99999945677277813</c:v>
                </c:pt>
                <c:pt idx="88">
                  <c:v>0.99999945677277813</c:v>
                </c:pt>
                <c:pt idx="89">
                  <c:v>0.99999945677277813</c:v>
                </c:pt>
                <c:pt idx="90">
                  <c:v>0.99999945677277813</c:v>
                </c:pt>
                <c:pt idx="91">
                  <c:v>0.99999945677277813</c:v>
                </c:pt>
                <c:pt idx="92">
                  <c:v>0.99999945677277813</c:v>
                </c:pt>
                <c:pt idx="93">
                  <c:v>0.99999945677277813</c:v>
                </c:pt>
                <c:pt idx="94">
                  <c:v>0.99999945677277813</c:v>
                </c:pt>
                <c:pt idx="95">
                  <c:v>0.99999945677277813</c:v>
                </c:pt>
                <c:pt idx="96">
                  <c:v>0.99999945677277813</c:v>
                </c:pt>
                <c:pt idx="97">
                  <c:v>0.99999945677277813</c:v>
                </c:pt>
                <c:pt idx="98">
                  <c:v>0.99999945677277813</c:v>
                </c:pt>
                <c:pt idx="99">
                  <c:v>0.99999945677277813</c:v>
                </c:pt>
                <c:pt idx="100">
                  <c:v>0.99999945677277813</c:v>
                </c:pt>
                <c:pt idx="101">
                  <c:v>0.99999945677277813</c:v>
                </c:pt>
                <c:pt idx="102">
                  <c:v>0.99999945677277813</c:v>
                </c:pt>
                <c:pt idx="103">
                  <c:v>0.99999945677277813</c:v>
                </c:pt>
                <c:pt idx="104">
                  <c:v>0.99999945677277813</c:v>
                </c:pt>
                <c:pt idx="105">
                  <c:v>0.99999945677277813</c:v>
                </c:pt>
                <c:pt idx="106">
                  <c:v>0.99999945677277813</c:v>
                </c:pt>
                <c:pt idx="107">
                  <c:v>0.99999945677277813</c:v>
                </c:pt>
                <c:pt idx="108">
                  <c:v>0.99999945677277813</c:v>
                </c:pt>
                <c:pt idx="109">
                  <c:v>0.99999945677277813</c:v>
                </c:pt>
                <c:pt idx="110">
                  <c:v>0.99999945677277813</c:v>
                </c:pt>
                <c:pt idx="111">
                  <c:v>0.99999945677277813</c:v>
                </c:pt>
                <c:pt idx="112">
                  <c:v>0.99999945677277813</c:v>
                </c:pt>
                <c:pt idx="113">
                  <c:v>0.99999945677277813</c:v>
                </c:pt>
                <c:pt idx="114">
                  <c:v>0.99999945677277813</c:v>
                </c:pt>
                <c:pt idx="115">
                  <c:v>0.99999945677277813</c:v>
                </c:pt>
                <c:pt idx="116">
                  <c:v>0.99999945677277813</c:v>
                </c:pt>
                <c:pt idx="117">
                  <c:v>0.99999945677277813</c:v>
                </c:pt>
                <c:pt idx="118">
                  <c:v>0.99999945677277813</c:v>
                </c:pt>
                <c:pt idx="119">
                  <c:v>0.99999945677277813</c:v>
                </c:pt>
                <c:pt idx="120">
                  <c:v>0.99999945677277813</c:v>
                </c:pt>
                <c:pt idx="121">
                  <c:v>0.99999945677277813</c:v>
                </c:pt>
                <c:pt idx="122">
                  <c:v>0.99999945677277813</c:v>
                </c:pt>
                <c:pt idx="123">
                  <c:v>0.99999945677277813</c:v>
                </c:pt>
                <c:pt idx="124">
                  <c:v>0.99999945677277813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B1E-4708-9F35-648B0100F990}"/>
            </c:ext>
          </c:extLst>
        </c:ser>
        <c:ser>
          <c:idx val="8"/>
          <c:order val="6"/>
          <c:tx>
            <c:strRef>
              <c:f>'Len-24 Age -20'!$J$25</c:f>
              <c:strCache>
                <c:ptCount val="1"/>
                <c:pt idx="0">
                  <c:v>selex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'Len-24 Age -20'!$B$26:$B$150</c:f>
              <c:numCache>
                <c:formatCode>General</c:formatCode>
                <c:ptCount val="1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</c:numCache>
            </c:numRef>
          </c:xVal>
          <c:yVal>
            <c:numRef>
              <c:f>'Len-24 Age -20'!$J$26:$J$150</c:f>
              <c:numCache>
                <c:formatCode>0.000</c:formatCode>
                <c:ptCount val="125"/>
                <c:pt idx="0">
                  <c:v>1.3638037724461959E-4</c:v>
                </c:pt>
                <c:pt idx="1">
                  <c:v>1.4000175927184231E-2</c:v>
                </c:pt>
                <c:pt idx="2">
                  <c:v>3.8845766444375762E-2</c:v>
                </c:pt>
                <c:pt idx="3">
                  <c:v>8.0212575830200111E-2</c:v>
                </c:pt>
                <c:pt idx="4">
                  <c:v>0.14405360758101304</c:v>
                </c:pt>
                <c:pt idx="5">
                  <c:v>0.23508907594606046</c:v>
                </c:pt>
                <c:pt idx="6">
                  <c:v>0.35448004393842342</c:v>
                </c:pt>
                <c:pt idx="7">
                  <c:v>0.49746363803614713</c:v>
                </c:pt>
                <c:pt idx="8">
                  <c:v>0.65199767840291956</c:v>
                </c:pt>
                <c:pt idx="9">
                  <c:v>0.79947453310430605</c:v>
                </c:pt>
                <c:pt idx="10">
                  <c:v>0.91797726987871064</c:v>
                </c:pt>
                <c:pt idx="11">
                  <c:v>0.9874906081924778</c:v>
                </c:pt>
                <c:pt idx="12">
                  <c:v>0.99998080783730292</c:v>
                </c:pt>
                <c:pt idx="13">
                  <c:v>0.99999940640520368</c:v>
                </c:pt>
                <c:pt idx="14">
                  <c:v>0.99999978178171234</c:v>
                </c:pt>
                <c:pt idx="15">
                  <c:v>0.99999960492754403</c:v>
                </c:pt>
                <c:pt idx="16">
                  <c:v>0.99999689607354469</c:v>
                </c:pt>
                <c:pt idx="17">
                  <c:v>0.99982576436975956</c:v>
                </c:pt>
                <c:pt idx="18">
                  <c:v>0.88635036983481696</c:v>
                </c:pt>
                <c:pt idx="19">
                  <c:v>0.59534507708238016</c:v>
                </c:pt>
                <c:pt idx="20">
                  <c:v>0.53743008890448163</c:v>
                </c:pt>
                <c:pt idx="21">
                  <c:v>0.53743008890448163</c:v>
                </c:pt>
                <c:pt idx="22">
                  <c:v>0.53743008890448163</c:v>
                </c:pt>
                <c:pt idx="23">
                  <c:v>0.53743008890448163</c:v>
                </c:pt>
                <c:pt idx="24">
                  <c:v>0.53743008890448163</c:v>
                </c:pt>
                <c:pt idx="25">
                  <c:v>0.53743008890448163</c:v>
                </c:pt>
                <c:pt idx="26">
                  <c:v>0.53743008890448163</c:v>
                </c:pt>
                <c:pt idx="27">
                  <c:v>0.53743008890448163</c:v>
                </c:pt>
                <c:pt idx="28">
                  <c:v>0.53743008890448163</c:v>
                </c:pt>
                <c:pt idx="29">
                  <c:v>0.53743008890448163</c:v>
                </c:pt>
                <c:pt idx="30">
                  <c:v>0.53743008890448163</c:v>
                </c:pt>
                <c:pt idx="31">
                  <c:v>0.53743008890448163</c:v>
                </c:pt>
                <c:pt idx="32">
                  <c:v>0.53743008890448163</c:v>
                </c:pt>
                <c:pt idx="33">
                  <c:v>0.53743008890448163</c:v>
                </c:pt>
                <c:pt idx="34">
                  <c:v>0.53743008890448163</c:v>
                </c:pt>
                <c:pt idx="35">
                  <c:v>0.53743008890448163</c:v>
                </c:pt>
                <c:pt idx="36">
                  <c:v>0.53743008890448163</c:v>
                </c:pt>
                <c:pt idx="37">
                  <c:v>0.53743008890448163</c:v>
                </c:pt>
                <c:pt idx="38">
                  <c:v>0.53743008890448163</c:v>
                </c:pt>
                <c:pt idx="39">
                  <c:v>0.53743008890448163</c:v>
                </c:pt>
                <c:pt idx="40">
                  <c:v>0.53743008890448163</c:v>
                </c:pt>
                <c:pt idx="41">
                  <c:v>0.53743008890448163</c:v>
                </c:pt>
                <c:pt idx="42">
                  <c:v>0.53743008890448163</c:v>
                </c:pt>
                <c:pt idx="43">
                  <c:v>0.53743008890448163</c:v>
                </c:pt>
                <c:pt idx="44">
                  <c:v>0.53743008890448163</c:v>
                </c:pt>
                <c:pt idx="45">
                  <c:v>0.53743008890448163</c:v>
                </c:pt>
                <c:pt idx="46">
                  <c:v>0.53743008890448163</c:v>
                </c:pt>
                <c:pt idx="47">
                  <c:v>0.53743008890448163</c:v>
                </c:pt>
                <c:pt idx="48">
                  <c:v>0.53743008890448163</c:v>
                </c:pt>
                <c:pt idx="49">
                  <c:v>0.53743008890448163</c:v>
                </c:pt>
                <c:pt idx="50">
                  <c:v>0.53743008890448163</c:v>
                </c:pt>
                <c:pt idx="51">
                  <c:v>0.53743008890448163</c:v>
                </c:pt>
                <c:pt idx="52">
                  <c:v>0.53743008890448163</c:v>
                </c:pt>
                <c:pt idx="53">
                  <c:v>0.53743008890448163</c:v>
                </c:pt>
                <c:pt idx="54">
                  <c:v>0.53743008890448163</c:v>
                </c:pt>
                <c:pt idx="55">
                  <c:v>0.53743008890448163</c:v>
                </c:pt>
                <c:pt idx="56">
                  <c:v>0.53743008890448163</c:v>
                </c:pt>
                <c:pt idx="57">
                  <c:v>0.53743008890448163</c:v>
                </c:pt>
                <c:pt idx="58">
                  <c:v>0.53743008890448163</c:v>
                </c:pt>
                <c:pt idx="59">
                  <c:v>0.53743008890448163</c:v>
                </c:pt>
                <c:pt idx="60">
                  <c:v>0.53743008890448163</c:v>
                </c:pt>
                <c:pt idx="61">
                  <c:v>0.53743008890448163</c:v>
                </c:pt>
                <c:pt idx="62">
                  <c:v>0.53743008890448163</c:v>
                </c:pt>
                <c:pt idx="63">
                  <c:v>0.53743008890448163</c:v>
                </c:pt>
                <c:pt idx="64">
                  <c:v>0.53743008890448163</c:v>
                </c:pt>
                <c:pt idx="65">
                  <c:v>0.53743008890448163</c:v>
                </c:pt>
                <c:pt idx="66">
                  <c:v>0.53743008890448163</c:v>
                </c:pt>
                <c:pt idx="67">
                  <c:v>0.53743008890448163</c:v>
                </c:pt>
                <c:pt idx="68">
                  <c:v>0.53743008890448163</c:v>
                </c:pt>
                <c:pt idx="69">
                  <c:v>0.53743008890448163</c:v>
                </c:pt>
                <c:pt idx="70">
                  <c:v>0.53743008890448163</c:v>
                </c:pt>
                <c:pt idx="71">
                  <c:v>0.53743008890448163</c:v>
                </c:pt>
                <c:pt idx="72">
                  <c:v>0.53743008890448163</c:v>
                </c:pt>
                <c:pt idx="73">
                  <c:v>0.53743008890448163</c:v>
                </c:pt>
                <c:pt idx="74">
                  <c:v>0.53743008890448163</c:v>
                </c:pt>
                <c:pt idx="75">
                  <c:v>0.53743008890448163</c:v>
                </c:pt>
                <c:pt idx="76">
                  <c:v>0.53743008890448163</c:v>
                </c:pt>
                <c:pt idx="77">
                  <c:v>0.53743008890448163</c:v>
                </c:pt>
                <c:pt idx="78">
                  <c:v>0.53743008890448163</c:v>
                </c:pt>
                <c:pt idx="79">
                  <c:v>0.53743008890448163</c:v>
                </c:pt>
                <c:pt idx="80">
                  <c:v>0.53743008890448163</c:v>
                </c:pt>
                <c:pt idx="81">
                  <c:v>0.53743008890448163</c:v>
                </c:pt>
                <c:pt idx="82">
                  <c:v>0.53743008890448163</c:v>
                </c:pt>
                <c:pt idx="83">
                  <c:v>0.53743008890448163</c:v>
                </c:pt>
                <c:pt idx="84">
                  <c:v>0.53743008890448163</c:v>
                </c:pt>
                <c:pt idx="85">
                  <c:v>0.53743008890448163</c:v>
                </c:pt>
                <c:pt idx="86">
                  <c:v>0.53743008890448163</c:v>
                </c:pt>
                <c:pt idx="87">
                  <c:v>0.53743008890448163</c:v>
                </c:pt>
                <c:pt idx="88">
                  <c:v>0.53743008890448163</c:v>
                </c:pt>
                <c:pt idx="89">
                  <c:v>0.53743008890448163</c:v>
                </c:pt>
                <c:pt idx="90">
                  <c:v>0.53743008890448163</c:v>
                </c:pt>
                <c:pt idx="91">
                  <c:v>0.53743008890448163</c:v>
                </c:pt>
                <c:pt idx="92">
                  <c:v>0.53743008890448163</c:v>
                </c:pt>
                <c:pt idx="93">
                  <c:v>0.53743008890448163</c:v>
                </c:pt>
                <c:pt idx="94">
                  <c:v>0.53743008890448163</c:v>
                </c:pt>
                <c:pt idx="95">
                  <c:v>0.53743008890448163</c:v>
                </c:pt>
                <c:pt idx="96">
                  <c:v>0.53743008890448163</c:v>
                </c:pt>
                <c:pt idx="97">
                  <c:v>0.53743008890448163</c:v>
                </c:pt>
                <c:pt idx="98">
                  <c:v>0.53743008890448163</c:v>
                </c:pt>
                <c:pt idx="99">
                  <c:v>0.53743008890448163</c:v>
                </c:pt>
                <c:pt idx="100">
                  <c:v>0.53743008890448163</c:v>
                </c:pt>
                <c:pt idx="101">
                  <c:v>0.53743008890448163</c:v>
                </c:pt>
                <c:pt idx="102">
                  <c:v>0.53743008890448163</c:v>
                </c:pt>
                <c:pt idx="103">
                  <c:v>0.53743008890448163</c:v>
                </c:pt>
                <c:pt idx="104">
                  <c:v>0.53743008890448163</c:v>
                </c:pt>
                <c:pt idx="105">
                  <c:v>0.53743008890448163</c:v>
                </c:pt>
                <c:pt idx="106">
                  <c:v>0.53743008890448163</c:v>
                </c:pt>
                <c:pt idx="107">
                  <c:v>0.53743008890448163</c:v>
                </c:pt>
                <c:pt idx="108">
                  <c:v>0.53743008890448163</c:v>
                </c:pt>
                <c:pt idx="109">
                  <c:v>0.53743008890448163</c:v>
                </c:pt>
                <c:pt idx="110">
                  <c:v>0.53743008890448163</c:v>
                </c:pt>
                <c:pt idx="111">
                  <c:v>0.53743008890448163</c:v>
                </c:pt>
                <c:pt idx="112">
                  <c:v>0.53743008890448163</c:v>
                </c:pt>
                <c:pt idx="113">
                  <c:v>0.53743008890448163</c:v>
                </c:pt>
                <c:pt idx="114">
                  <c:v>0.53743008890448163</c:v>
                </c:pt>
                <c:pt idx="115">
                  <c:v>0.53743008890448163</c:v>
                </c:pt>
                <c:pt idx="116">
                  <c:v>0.53743008890448163</c:v>
                </c:pt>
                <c:pt idx="117">
                  <c:v>0.53743008890448163</c:v>
                </c:pt>
                <c:pt idx="118">
                  <c:v>0.53743008890448163</c:v>
                </c:pt>
                <c:pt idx="119">
                  <c:v>0.53743008890448163</c:v>
                </c:pt>
                <c:pt idx="120">
                  <c:v>0.53743008890448163</c:v>
                </c:pt>
                <c:pt idx="121">
                  <c:v>0.53743008890448163</c:v>
                </c:pt>
                <c:pt idx="122">
                  <c:v>0.53743008890448163</c:v>
                </c:pt>
                <c:pt idx="123">
                  <c:v>0.53743008890448163</c:v>
                </c:pt>
                <c:pt idx="124">
                  <c:v>0.53743008890448163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B1E-4708-9F35-648B0100F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416576"/>
        <c:axId val="181886976"/>
      </c:scatterChart>
      <c:valAx>
        <c:axId val="169416576"/>
        <c:scaling>
          <c:orientation val="minMax"/>
          <c:min val="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MS Sans Serif"/>
                <a:ea typeface="MS Sans Serif"/>
                <a:cs typeface="MS Sans Serif"/>
              </a:defRPr>
            </a:pPr>
            <a:endParaRPr lang="en-US"/>
          </a:p>
        </c:txPr>
        <c:crossAx val="181886976"/>
        <c:crosses val="autoZero"/>
        <c:crossBetween val="midCat"/>
      </c:valAx>
      <c:valAx>
        <c:axId val="181886976"/>
        <c:scaling>
          <c:orientation val="minMax"/>
          <c:max val="1.2"/>
          <c:min val="0"/>
        </c:scaling>
        <c:delete val="0"/>
        <c:axPos val="l"/>
        <c:numFmt formatCode="0.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MS Sans Serif"/>
                <a:ea typeface="MS Sans Serif"/>
                <a:cs typeface="MS Sans Serif"/>
              </a:defRPr>
            </a:pPr>
            <a:endParaRPr lang="en-US"/>
          </a:p>
        </c:txPr>
        <c:crossAx val="169416576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3461012311901508"/>
          <c:y val="7.5046904315197005E-2"/>
          <c:w val="0.2161422708618331"/>
          <c:h val="0.317073170731707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1" i="0" u="none" strike="noStrike" baseline="0">
              <a:solidFill>
                <a:srgbClr val="000000"/>
              </a:solidFill>
              <a:latin typeface="MS Sans Serif"/>
              <a:ea typeface="MS Sans Serif"/>
              <a:cs typeface="MS Sans Serif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MS Sans Serif"/>
          <a:ea typeface="MS Sans Serif"/>
          <a:cs typeface="MS Sans Serif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" r="0.75" t="1" header="0.5" footer="0.5"/>
    <c:pageSetup orientation="portrait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306102056253815E-2"/>
          <c:y val="4.4943902416722289E-2"/>
          <c:w val="0.90164054714255026"/>
          <c:h val="0.86517012152190409"/>
        </c:manualLayout>
      </c:layout>
      <c:scatterChart>
        <c:scatterStyle val="lineMarker"/>
        <c:varyColors val="0"/>
        <c:ser>
          <c:idx val="8"/>
          <c:order val="0"/>
          <c:tx>
            <c:strRef>
              <c:f>'Len-24 Age -20'!$J$25</c:f>
              <c:strCache>
                <c:ptCount val="1"/>
                <c:pt idx="0">
                  <c:v>selex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'Len-24 Age -20'!$B$26:$B$150</c:f>
              <c:numCache>
                <c:formatCode>General</c:formatCode>
                <c:ptCount val="1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</c:numCache>
            </c:numRef>
          </c:xVal>
          <c:yVal>
            <c:numRef>
              <c:f>'Len-24 Age -20'!$J$26:$J$150</c:f>
              <c:numCache>
                <c:formatCode>0.000</c:formatCode>
                <c:ptCount val="125"/>
                <c:pt idx="0">
                  <c:v>1.3638037724461959E-4</c:v>
                </c:pt>
                <c:pt idx="1">
                  <c:v>1.4000175927184231E-2</c:v>
                </c:pt>
                <c:pt idx="2">
                  <c:v>3.8845766444375762E-2</c:v>
                </c:pt>
                <c:pt idx="3">
                  <c:v>8.0212575830200111E-2</c:v>
                </c:pt>
                <c:pt idx="4">
                  <c:v>0.14405360758101304</c:v>
                </c:pt>
                <c:pt idx="5">
                  <c:v>0.23508907594606046</c:v>
                </c:pt>
                <c:pt idx="6">
                  <c:v>0.35448004393842342</c:v>
                </c:pt>
                <c:pt idx="7">
                  <c:v>0.49746363803614713</c:v>
                </c:pt>
                <c:pt idx="8">
                  <c:v>0.65199767840291956</c:v>
                </c:pt>
                <c:pt idx="9">
                  <c:v>0.79947453310430605</c:v>
                </c:pt>
                <c:pt idx="10">
                  <c:v>0.91797726987871064</c:v>
                </c:pt>
                <c:pt idx="11">
                  <c:v>0.9874906081924778</c:v>
                </c:pt>
                <c:pt idx="12">
                  <c:v>0.99998080783730292</c:v>
                </c:pt>
                <c:pt idx="13">
                  <c:v>0.99999940640520368</c:v>
                </c:pt>
                <c:pt idx="14">
                  <c:v>0.99999978178171234</c:v>
                </c:pt>
                <c:pt idx="15">
                  <c:v>0.99999960492754403</c:v>
                </c:pt>
                <c:pt idx="16">
                  <c:v>0.99999689607354469</c:v>
                </c:pt>
                <c:pt idx="17">
                  <c:v>0.99982576436975956</c:v>
                </c:pt>
                <c:pt idx="18">
                  <c:v>0.88635036983481696</c:v>
                </c:pt>
                <c:pt idx="19">
                  <c:v>0.59534507708238016</c:v>
                </c:pt>
                <c:pt idx="20">
                  <c:v>0.53743008890448163</c:v>
                </c:pt>
                <c:pt idx="21">
                  <c:v>0.53743008890448163</c:v>
                </c:pt>
                <c:pt idx="22">
                  <c:v>0.53743008890448163</c:v>
                </c:pt>
                <c:pt idx="23">
                  <c:v>0.53743008890448163</c:v>
                </c:pt>
                <c:pt idx="24">
                  <c:v>0.53743008890448163</c:v>
                </c:pt>
                <c:pt idx="25">
                  <c:v>0.53743008890448163</c:v>
                </c:pt>
                <c:pt idx="26">
                  <c:v>0.53743008890448163</c:v>
                </c:pt>
                <c:pt idx="27">
                  <c:v>0.53743008890448163</c:v>
                </c:pt>
                <c:pt idx="28">
                  <c:v>0.53743008890448163</c:v>
                </c:pt>
                <c:pt idx="29">
                  <c:v>0.53743008890448163</c:v>
                </c:pt>
                <c:pt idx="30">
                  <c:v>0.53743008890448163</c:v>
                </c:pt>
                <c:pt idx="31">
                  <c:v>0.53743008890448163</c:v>
                </c:pt>
                <c:pt idx="32">
                  <c:v>0.53743008890448163</c:v>
                </c:pt>
                <c:pt idx="33">
                  <c:v>0.53743008890448163</c:v>
                </c:pt>
                <c:pt idx="34">
                  <c:v>0.53743008890448163</c:v>
                </c:pt>
                <c:pt idx="35">
                  <c:v>0.53743008890448163</c:v>
                </c:pt>
                <c:pt idx="36">
                  <c:v>0.53743008890448163</c:v>
                </c:pt>
                <c:pt idx="37">
                  <c:v>0.53743008890448163</c:v>
                </c:pt>
                <c:pt idx="38">
                  <c:v>0.53743008890448163</c:v>
                </c:pt>
                <c:pt idx="39">
                  <c:v>0.53743008890448163</c:v>
                </c:pt>
                <c:pt idx="40">
                  <c:v>0.53743008890448163</c:v>
                </c:pt>
                <c:pt idx="41">
                  <c:v>0.53743008890448163</c:v>
                </c:pt>
                <c:pt idx="42">
                  <c:v>0.53743008890448163</c:v>
                </c:pt>
                <c:pt idx="43">
                  <c:v>0.53743008890448163</c:v>
                </c:pt>
                <c:pt idx="44">
                  <c:v>0.53743008890448163</c:v>
                </c:pt>
                <c:pt idx="45">
                  <c:v>0.53743008890448163</c:v>
                </c:pt>
                <c:pt idx="46">
                  <c:v>0.53743008890448163</c:v>
                </c:pt>
                <c:pt idx="47">
                  <c:v>0.53743008890448163</c:v>
                </c:pt>
                <c:pt idx="48">
                  <c:v>0.53743008890448163</c:v>
                </c:pt>
                <c:pt idx="49">
                  <c:v>0.53743008890448163</c:v>
                </c:pt>
                <c:pt idx="50">
                  <c:v>0.53743008890448163</c:v>
                </c:pt>
                <c:pt idx="51">
                  <c:v>0.53743008890448163</c:v>
                </c:pt>
                <c:pt idx="52">
                  <c:v>0.53743008890448163</c:v>
                </c:pt>
                <c:pt idx="53">
                  <c:v>0.53743008890448163</c:v>
                </c:pt>
                <c:pt idx="54">
                  <c:v>0.53743008890448163</c:v>
                </c:pt>
                <c:pt idx="55">
                  <c:v>0.53743008890448163</c:v>
                </c:pt>
                <c:pt idx="56">
                  <c:v>0.53743008890448163</c:v>
                </c:pt>
                <c:pt idx="57">
                  <c:v>0.53743008890448163</c:v>
                </c:pt>
                <c:pt idx="58">
                  <c:v>0.53743008890448163</c:v>
                </c:pt>
                <c:pt idx="59">
                  <c:v>0.53743008890448163</c:v>
                </c:pt>
                <c:pt idx="60">
                  <c:v>0.53743008890448163</c:v>
                </c:pt>
                <c:pt idx="61">
                  <c:v>0.53743008890448163</c:v>
                </c:pt>
                <c:pt idx="62">
                  <c:v>0.53743008890448163</c:v>
                </c:pt>
                <c:pt idx="63">
                  <c:v>0.53743008890448163</c:v>
                </c:pt>
                <c:pt idx="64">
                  <c:v>0.53743008890448163</c:v>
                </c:pt>
                <c:pt idx="65">
                  <c:v>0.53743008890448163</c:v>
                </c:pt>
                <c:pt idx="66">
                  <c:v>0.53743008890448163</c:v>
                </c:pt>
                <c:pt idx="67">
                  <c:v>0.53743008890448163</c:v>
                </c:pt>
                <c:pt idx="68">
                  <c:v>0.53743008890448163</c:v>
                </c:pt>
                <c:pt idx="69">
                  <c:v>0.53743008890448163</c:v>
                </c:pt>
                <c:pt idx="70">
                  <c:v>0.53743008890448163</c:v>
                </c:pt>
                <c:pt idx="71">
                  <c:v>0.53743008890448163</c:v>
                </c:pt>
                <c:pt idx="72">
                  <c:v>0.53743008890448163</c:v>
                </c:pt>
                <c:pt idx="73">
                  <c:v>0.53743008890448163</c:v>
                </c:pt>
                <c:pt idx="74">
                  <c:v>0.53743008890448163</c:v>
                </c:pt>
                <c:pt idx="75">
                  <c:v>0.53743008890448163</c:v>
                </c:pt>
                <c:pt idx="76">
                  <c:v>0.53743008890448163</c:v>
                </c:pt>
                <c:pt idx="77">
                  <c:v>0.53743008890448163</c:v>
                </c:pt>
                <c:pt idx="78">
                  <c:v>0.53743008890448163</c:v>
                </c:pt>
                <c:pt idx="79">
                  <c:v>0.53743008890448163</c:v>
                </c:pt>
                <c:pt idx="80">
                  <c:v>0.53743008890448163</c:v>
                </c:pt>
                <c:pt idx="81">
                  <c:v>0.53743008890448163</c:v>
                </c:pt>
                <c:pt idx="82">
                  <c:v>0.53743008890448163</c:v>
                </c:pt>
                <c:pt idx="83">
                  <c:v>0.53743008890448163</c:v>
                </c:pt>
                <c:pt idx="84">
                  <c:v>0.53743008890448163</c:v>
                </c:pt>
                <c:pt idx="85">
                  <c:v>0.53743008890448163</c:v>
                </c:pt>
                <c:pt idx="86">
                  <c:v>0.53743008890448163</c:v>
                </c:pt>
                <c:pt idx="87">
                  <c:v>0.53743008890448163</c:v>
                </c:pt>
                <c:pt idx="88">
                  <c:v>0.53743008890448163</c:v>
                </c:pt>
                <c:pt idx="89">
                  <c:v>0.53743008890448163</c:v>
                </c:pt>
                <c:pt idx="90">
                  <c:v>0.53743008890448163</c:v>
                </c:pt>
                <c:pt idx="91">
                  <c:v>0.53743008890448163</c:v>
                </c:pt>
                <c:pt idx="92">
                  <c:v>0.53743008890448163</c:v>
                </c:pt>
                <c:pt idx="93">
                  <c:v>0.53743008890448163</c:v>
                </c:pt>
                <c:pt idx="94">
                  <c:v>0.53743008890448163</c:v>
                </c:pt>
                <c:pt idx="95">
                  <c:v>0.53743008890448163</c:v>
                </c:pt>
                <c:pt idx="96">
                  <c:v>0.53743008890448163</c:v>
                </c:pt>
                <c:pt idx="97">
                  <c:v>0.53743008890448163</c:v>
                </c:pt>
                <c:pt idx="98">
                  <c:v>0.53743008890448163</c:v>
                </c:pt>
                <c:pt idx="99">
                  <c:v>0.53743008890448163</c:v>
                </c:pt>
                <c:pt idx="100">
                  <c:v>0.53743008890448163</c:v>
                </c:pt>
                <c:pt idx="101">
                  <c:v>0.53743008890448163</c:v>
                </c:pt>
                <c:pt idx="102">
                  <c:v>0.53743008890448163</c:v>
                </c:pt>
                <c:pt idx="103">
                  <c:v>0.53743008890448163</c:v>
                </c:pt>
                <c:pt idx="104">
                  <c:v>0.53743008890448163</c:v>
                </c:pt>
                <c:pt idx="105">
                  <c:v>0.53743008890448163</c:v>
                </c:pt>
                <c:pt idx="106">
                  <c:v>0.53743008890448163</c:v>
                </c:pt>
                <c:pt idx="107">
                  <c:v>0.53743008890448163</c:v>
                </c:pt>
                <c:pt idx="108">
                  <c:v>0.53743008890448163</c:v>
                </c:pt>
                <c:pt idx="109">
                  <c:v>0.53743008890448163</c:v>
                </c:pt>
                <c:pt idx="110">
                  <c:v>0.53743008890448163</c:v>
                </c:pt>
                <c:pt idx="111">
                  <c:v>0.53743008890448163</c:v>
                </c:pt>
                <c:pt idx="112">
                  <c:v>0.53743008890448163</c:v>
                </c:pt>
                <c:pt idx="113">
                  <c:v>0.53743008890448163</c:v>
                </c:pt>
                <c:pt idx="114">
                  <c:v>0.53743008890448163</c:v>
                </c:pt>
                <c:pt idx="115">
                  <c:v>0.53743008890448163</c:v>
                </c:pt>
                <c:pt idx="116">
                  <c:v>0.53743008890448163</c:v>
                </c:pt>
                <c:pt idx="117">
                  <c:v>0.53743008890448163</c:v>
                </c:pt>
                <c:pt idx="118">
                  <c:v>0.53743008890448163</c:v>
                </c:pt>
                <c:pt idx="119">
                  <c:v>0.53743008890448163</c:v>
                </c:pt>
                <c:pt idx="120">
                  <c:v>0.53743008890448163</c:v>
                </c:pt>
                <c:pt idx="121">
                  <c:v>0.53743008890448163</c:v>
                </c:pt>
                <c:pt idx="122">
                  <c:v>0.53743008890448163</c:v>
                </c:pt>
                <c:pt idx="123">
                  <c:v>0.53743008890448163</c:v>
                </c:pt>
                <c:pt idx="124">
                  <c:v>0.53743008890448163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7E-4EF0-87A8-79747BC35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237440"/>
        <c:axId val="182326016"/>
      </c:scatterChart>
      <c:valAx>
        <c:axId val="182237440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350" b="1" i="0" u="none" strike="noStrike" baseline="0">
                    <a:solidFill>
                      <a:srgbClr val="000000"/>
                    </a:solidFill>
                    <a:latin typeface="MS Sans Serif"/>
                    <a:ea typeface="MS Sans Serif"/>
                    <a:cs typeface="MS Sans Serif"/>
                  </a:defRPr>
                </a:pPr>
                <a:r>
                  <a:t>SIZE</a:t>
                </a:r>
              </a:p>
            </c:rich>
          </c:tx>
          <c:layout>
            <c:manualLayout>
              <c:xMode val="edge"/>
              <c:yMode val="edge"/>
              <c:x val="0.48360720255827699"/>
              <c:y val="0.9101140239386263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182326016"/>
        <c:crosses val="autoZero"/>
        <c:crossBetween val="midCat"/>
      </c:valAx>
      <c:valAx>
        <c:axId val="182326016"/>
        <c:scaling>
          <c:orientation val="minMax"/>
          <c:max val="1.0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350" b="1" i="0" u="none" strike="noStrike" baseline="0">
                    <a:solidFill>
                      <a:srgbClr val="000000"/>
                    </a:solidFill>
                    <a:latin typeface="MS Sans Serif"/>
                    <a:ea typeface="MS Sans Serif"/>
                    <a:cs typeface="MS Sans Serif"/>
                  </a:defRPr>
                </a:pPr>
                <a:r>
                  <a:t>SELECTIVITY</a:t>
                </a:r>
              </a:p>
            </c:rich>
          </c:tx>
          <c:layout>
            <c:manualLayout>
              <c:xMode val="edge"/>
              <c:yMode val="edge"/>
              <c:x val="6.8306102056253813E-3"/>
              <c:y val="0.35018790633029451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182237440"/>
        <c:crosses val="autoZero"/>
        <c:crossBetween val="midCat"/>
        <c:majorUnit val="0.2"/>
      </c:valAx>
      <c:spPr>
        <a:noFill/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MS Sans Serif"/>
          <a:ea typeface="MS Sans Serif"/>
          <a:cs typeface="MS Sans Serif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Len Selex 6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'Len 6'!$B$23</c:f>
              <c:strCache>
                <c:ptCount val="1"/>
                <c:pt idx="0">
                  <c:v>tempvec_l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'Len 6'!$A$24:$A$68</c:f>
              <c:numCache>
                <c:formatCode>General</c:formatCode>
                <c:ptCount val="45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16</c:v>
                </c:pt>
                <c:pt idx="4">
                  <c:v>18</c:v>
                </c:pt>
                <c:pt idx="5">
                  <c:v>20</c:v>
                </c:pt>
                <c:pt idx="6">
                  <c:v>22</c:v>
                </c:pt>
                <c:pt idx="7">
                  <c:v>24</c:v>
                </c:pt>
                <c:pt idx="8">
                  <c:v>26</c:v>
                </c:pt>
                <c:pt idx="9">
                  <c:v>28</c:v>
                </c:pt>
                <c:pt idx="10">
                  <c:v>30</c:v>
                </c:pt>
                <c:pt idx="11">
                  <c:v>32</c:v>
                </c:pt>
                <c:pt idx="12">
                  <c:v>34</c:v>
                </c:pt>
                <c:pt idx="13">
                  <c:v>36</c:v>
                </c:pt>
                <c:pt idx="14">
                  <c:v>38</c:v>
                </c:pt>
                <c:pt idx="15">
                  <c:v>40</c:v>
                </c:pt>
                <c:pt idx="16">
                  <c:v>42</c:v>
                </c:pt>
                <c:pt idx="17" formatCode="0.0">
                  <c:v>42.666666666666664</c:v>
                </c:pt>
                <c:pt idx="18">
                  <c:v>44</c:v>
                </c:pt>
                <c:pt idx="19">
                  <c:v>46</c:v>
                </c:pt>
                <c:pt idx="20">
                  <c:v>48</c:v>
                </c:pt>
                <c:pt idx="21" formatCode="0.0">
                  <c:v>49.333333333333329</c:v>
                </c:pt>
                <c:pt idx="22">
                  <c:v>50</c:v>
                </c:pt>
                <c:pt idx="23">
                  <c:v>52</c:v>
                </c:pt>
                <c:pt idx="24">
                  <c:v>54</c:v>
                </c:pt>
                <c:pt idx="25">
                  <c:v>56</c:v>
                </c:pt>
                <c:pt idx="26" formatCode="0.0">
                  <c:v>55.999999999999993</c:v>
                </c:pt>
                <c:pt idx="27">
                  <c:v>58</c:v>
                </c:pt>
                <c:pt idx="28">
                  <c:v>60</c:v>
                </c:pt>
                <c:pt idx="29">
                  <c:v>62</c:v>
                </c:pt>
                <c:pt idx="30" formatCode="0.0">
                  <c:v>62.666666666666657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 formatCode="0.0">
                  <c:v>69.333333333333329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 formatCode="0.0">
                  <c:v>76</c:v>
                </c:pt>
                <c:pt idx="40">
                  <c:v>78</c:v>
                </c:pt>
                <c:pt idx="41">
                  <c:v>80</c:v>
                </c:pt>
                <c:pt idx="42">
                  <c:v>82</c:v>
                </c:pt>
                <c:pt idx="43">
                  <c:v>84</c:v>
                </c:pt>
                <c:pt idx="44">
                  <c:v>86</c:v>
                </c:pt>
              </c:numCache>
            </c:numRef>
          </c:xVal>
          <c:yVal>
            <c:numRef>
              <c:f>'Len 6'!$B$24:$B$68</c:f>
              <c:numCache>
                <c:formatCode>0.0</c:formatCode>
                <c:ptCount val="45"/>
                <c:pt idx="0" formatCode="General">
                  <c:v>-10</c:v>
                </c:pt>
                <c:pt idx="1">
                  <c:v>-9.384615384615385</c:v>
                </c:pt>
                <c:pt idx="2">
                  <c:v>-8.7692307692307701</c:v>
                </c:pt>
                <c:pt idx="3">
                  <c:v>-8.1538461538461551</c:v>
                </c:pt>
                <c:pt idx="4">
                  <c:v>-7.5384615384615401</c:v>
                </c:pt>
                <c:pt idx="5">
                  <c:v>-6.9230769230769251</c:v>
                </c:pt>
                <c:pt idx="6">
                  <c:v>-6.3076923076923102</c:v>
                </c:pt>
                <c:pt idx="7">
                  <c:v>-5.6923076923076952</c:v>
                </c:pt>
                <c:pt idx="8">
                  <c:v>-5.0769230769230802</c:v>
                </c:pt>
                <c:pt idx="9">
                  <c:v>-4.4615384615384652</c:v>
                </c:pt>
                <c:pt idx="10">
                  <c:v>-3.8461538461538498</c:v>
                </c:pt>
                <c:pt idx="11">
                  <c:v>-3.2307692307692344</c:v>
                </c:pt>
                <c:pt idx="12">
                  <c:v>-2.615384615384619</c:v>
                </c:pt>
                <c:pt idx="13" formatCode="General">
                  <c:v>-2</c:v>
                </c:pt>
                <c:pt idx="14" formatCode="General">
                  <c:v>-1.4</c:v>
                </c:pt>
                <c:pt idx="15" formatCode="General">
                  <c:v>-0.79999999999999971</c:v>
                </c:pt>
                <c:pt idx="16" formatCode="General">
                  <c:v>-0.19999999999999951</c:v>
                </c:pt>
                <c:pt idx="17" formatCode="General">
                  <c:v>0</c:v>
                </c:pt>
                <c:pt idx="18" formatCode="General">
                  <c:v>0.20000000000000043</c:v>
                </c:pt>
                <c:pt idx="19" formatCode="General">
                  <c:v>0.50000000000000056</c:v>
                </c:pt>
                <c:pt idx="20" formatCode="General">
                  <c:v>0.80000000000000071</c:v>
                </c:pt>
                <c:pt idx="21" formatCode="General">
                  <c:v>1</c:v>
                </c:pt>
                <c:pt idx="22" formatCode="General">
                  <c:v>1.1000000000000008</c:v>
                </c:pt>
                <c:pt idx="23" formatCode="General">
                  <c:v>1.4000000000000008</c:v>
                </c:pt>
                <c:pt idx="24" formatCode="General">
                  <c:v>1.7000000000000008</c:v>
                </c:pt>
                <c:pt idx="25" formatCode="General">
                  <c:v>2.0000000000000009</c:v>
                </c:pt>
                <c:pt idx="26" formatCode="General">
                  <c:v>2</c:v>
                </c:pt>
                <c:pt idx="27" formatCode="General">
                  <c:v>2.3900000000000015</c:v>
                </c:pt>
                <c:pt idx="28" formatCode="General">
                  <c:v>2.7800000000000016</c:v>
                </c:pt>
                <c:pt idx="29" formatCode="General">
                  <c:v>3.1700000000000017</c:v>
                </c:pt>
                <c:pt idx="30" formatCode="General">
                  <c:v>3.3</c:v>
                </c:pt>
                <c:pt idx="31" formatCode="General">
                  <c:v>3.28</c:v>
                </c:pt>
                <c:pt idx="32" formatCode="General">
                  <c:v>3.25</c:v>
                </c:pt>
                <c:pt idx="33" formatCode="General">
                  <c:v>3.22</c:v>
                </c:pt>
                <c:pt idx="34" formatCode="General">
                  <c:v>3.2</c:v>
                </c:pt>
                <c:pt idx="35" formatCode="General">
                  <c:v>3.18</c:v>
                </c:pt>
                <c:pt idx="36" formatCode="General">
                  <c:v>3.12</c:v>
                </c:pt>
                <c:pt idx="37" formatCode="General">
                  <c:v>3.06</c:v>
                </c:pt>
                <c:pt idx="38" formatCode="General">
                  <c:v>3</c:v>
                </c:pt>
                <c:pt idx="39" formatCode="General">
                  <c:v>3</c:v>
                </c:pt>
                <c:pt idx="40" formatCode="General">
                  <c:v>3</c:v>
                </c:pt>
                <c:pt idx="41" formatCode="General">
                  <c:v>3</c:v>
                </c:pt>
                <c:pt idx="42" formatCode="General">
                  <c:v>3</c:v>
                </c:pt>
                <c:pt idx="43" formatCode="General">
                  <c:v>3</c:v>
                </c:pt>
                <c:pt idx="44" formatCode="General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4E-4013-9CFE-55F698A20961}"/>
            </c:ext>
          </c:extLst>
        </c:ser>
        <c:ser>
          <c:idx val="2"/>
          <c:order val="2"/>
          <c:tx>
            <c:v/>
          </c:tx>
          <c:spPr>
            <a:ln w="28575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'Len 6'!$A$19:$G$19</c:f>
              <c:numCache>
                <c:formatCode>0.0</c:formatCode>
                <c:ptCount val="7"/>
                <c:pt idx="0" formatCode="General">
                  <c:v>36</c:v>
                </c:pt>
                <c:pt idx="1">
                  <c:v>42.666666666666664</c:v>
                </c:pt>
                <c:pt idx="2">
                  <c:v>49.333333333333329</c:v>
                </c:pt>
                <c:pt idx="3">
                  <c:v>55.999999999999993</c:v>
                </c:pt>
                <c:pt idx="4">
                  <c:v>62.666666666666657</c:v>
                </c:pt>
                <c:pt idx="5">
                  <c:v>69.333333333333329</c:v>
                </c:pt>
                <c:pt idx="6">
                  <c:v>76</c:v>
                </c:pt>
              </c:numCache>
            </c:numRef>
          </c:xVal>
          <c:yVal>
            <c:numRef>
              <c:f>'Len 6'!$A$20:$G$20</c:f>
              <c:numCache>
                <c:formatCode>General</c:formatCode>
                <c:ptCount val="7"/>
                <c:pt idx="0">
                  <c:v>-2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3.3</c:v>
                </c:pt>
                <c:pt idx="5">
                  <c:v>3.2</c:v>
                </c:pt>
                <c:pt idx="6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4E-4013-9CFE-55F698A20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677232"/>
        <c:axId val="343303448"/>
      </c:scatterChart>
      <c:scatterChart>
        <c:scatterStyle val="lineMarker"/>
        <c:varyColors val="0"/>
        <c:ser>
          <c:idx val="1"/>
          <c:order val="1"/>
          <c:tx>
            <c:strRef>
              <c:f>'Len 6'!$G$23</c:f>
              <c:strCache>
                <c:ptCount val="1"/>
                <c:pt idx="0">
                  <c:v>sel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'Len 6'!$A$24:$A$68</c:f>
              <c:numCache>
                <c:formatCode>General</c:formatCode>
                <c:ptCount val="45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16</c:v>
                </c:pt>
                <c:pt idx="4">
                  <c:v>18</c:v>
                </c:pt>
                <c:pt idx="5">
                  <c:v>20</c:v>
                </c:pt>
                <c:pt idx="6">
                  <c:v>22</c:v>
                </c:pt>
                <c:pt idx="7">
                  <c:v>24</c:v>
                </c:pt>
                <c:pt idx="8">
                  <c:v>26</c:v>
                </c:pt>
                <c:pt idx="9">
                  <c:v>28</c:v>
                </c:pt>
                <c:pt idx="10">
                  <c:v>30</c:v>
                </c:pt>
                <c:pt idx="11">
                  <c:v>32</c:v>
                </c:pt>
                <c:pt idx="12">
                  <c:v>34</c:v>
                </c:pt>
                <c:pt idx="13">
                  <c:v>36</c:v>
                </c:pt>
                <c:pt idx="14">
                  <c:v>38</c:v>
                </c:pt>
                <c:pt idx="15">
                  <c:v>40</c:v>
                </c:pt>
                <c:pt idx="16">
                  <c:v>42</c:v>
                </c:pt>
                <c:pt idx="17" formatCode="0.0">
                  <c:v>42.666666666666664</c:v>
                </c:pt>
                <c:pt idx="18">
                  <c:v>44</c:v>
                </c:pt>
                <c:pt idx="19">
                  <c:v>46</c:v>
                </c:pt>
                <c:pt idx="20">
                  <c:v>48</c:v>
                </c:pt>
                <c:pt idx="21" formatCode="0.0">
                  <c:v>49.333333333333329</c:v>
                </c:pt>
                <c:pt idx="22">
                  <c:v>50</c:v>
                </c:pt>
                <c:pt idx="23">
                  <c:v>52</c:v>
                </c:pt>
                <c:pt idx="24">
                  <c:v>54</c:v>
                </c:pt>
                <c:pt idx="25">
                  <c:v>56</c:v>
                </c:pt>
                <c:pt idx="26" formatCode="0.0">
                  <c:v>55.999999999999993</c:v>
                </c:pt>
                <c:pt idx="27">
                  <c:v>58</c:v>
                </c:pt>
                <c:pt idx="28">
                  <c:v>60</c:v>
                </c:pt>
                <c:pt idx="29">
                  <c:v>62</c:v>
                </c:pt>
                <c:pt idx="30" formatCode="0.0">
                  <c:v>62.666666666666657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 formatCode="0.0">
                  <c:v>69.333333333333329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 formatCode="0.0">
                  <c:v>76</c:v>
                </c:pt>
                <c:pt idx="40">
                  <c:v>78</c:v>
                </c:pt>
                <c:pt idx="41">
                  <c:v>80</c:v>
                </c:pt>
                <c:pt idx="42">
                  <c:v>82</c:v>
                </c:pt>
                <c:pt idx="43">
                  <c:v>84</c:v>
                </c:pt>
                <c:pt idx="44">
                  <c:v>86</c:v>
                </c:pt>
              </c:numCache>
            </c:numRef>
          </c:xVal>
          <c:yVal>
            <c:numRef>
              <c:f>'Len 6'!$G$24:$G$68</c:f>
              <c:numCache>
                <c:formatCode>General</c:formatCode>
                <c:ptCount val="45"/>
                <c:pt idx="0">
                  <c:v>1.674493209434266E-6</c:v>
                </c:pt>
                <c:pt idx="1">
                  <c:v>3.098428890020581E-6</c:v>
                </c:pt>
                <c:pt idx="2">
                  <c:v>5.7332341107299093E-6</c:v>
                </c:pt>
                <c:pt idx="3">
                  <c:v>1.0608593753532537E-5</c:v>
                </c:pt>
                <c:pt idx="4">
                  <c:v>1.9629803921117255E-5</c:v>
                </c:pt>
                <c:pt idx="5">
                  <c:v>3.6322363824442011E-5</c:v>
                </c:pt>
                <c:pt idx="6">
                  <c:v>6.7209744890821022E-5</c:v>
                </c:pt>
                <c:pt idx="7">
                  <c:v>1.2436277082962269E-4</c:v>
                </c:pt>
                <c:pt idx="8">
                  <c:v>2.3011690928964428E-4</c:v>
                </c:pt>
                <c:pt idx="9">
                  <c:v>4.2580099806207558E-4</c:v>
                </c:pt>
                <c:pt idx="10">
                  <c:v>7.8788860197340942E-4</c:v>
                </c:pt>
                <c:pt idx="11">
                  <c:v>1.4578839691425851E-3</c:v>
                </c:pt>
                <c:pt idx="12">
                  <c:v>2.6976220523554032E-3</c:v>
                </c:pt>
                <c:pt idx="13">
                  <c:v>4.991593906910217E-3</c:v>
                </c:pt>
                <c:pt idx="14">
                  <c:v>9.0952771016958242E-3</c:v>
                </c:pt>
                <c:pt idx="15">
                  <c:v>1.6572675401761255E-2</c:v>
                </c:pt>
                <c:pt idx="16">
                  <c:v>3.0197383422318529E-2</c:v>
                </c:pt>
                <c:pt idx="17">
                  <c:v>3.6883167401240015E-2</c:v>
                </c:pt>
                <c:pt idx="18">
                  <c:v>4.5049202393557843E-2</c:v>
                </c:pt>
                <c:pt idx="19">
                  <c:v>6.0810062625218E-2</c:v>
                </c:pt>
                <c:pt idx="20">
                  <c:v>8.2084998623898869E-2</c:v>
                </c:pt>
                <c:pt idx="21">
                  <c:v>0.10025884372280375</c:v>
                </c:pt>
                <c:pt idx="22">
                  <c:v>0.11080315836233397</c:v>
                </c:pt>
                <c:pt idx="23">
                  <c:v>0.1495686192226352</c:v>
                </c:pt>
                <c:pt idx="24">
                  <c:v>0.20189651799465561</c:v>
                </c:pt>
                <c:pt idx="25">
                  <c:v>0.27253179303401287</c:v>
                </c:pt>
                <c:pt idx="26">
                  <c:v>0.27253179303401265</c:v>
                </c:pt>
                <c:pt idx="27">
                  <c:v>0.40252422403363664</c:v>
                </c:pt>
                <c:pt idx="28">
                  <c:v>0.59452054797019538</c:v>
                </c:pt>
                <c:pt idx="29">
                  <c:v>0.87809543092056297</c:v>
                </c:pt>
                <c:pt idx="30">
                  <c:v>1</c:v>
                </c:pt>
                <c:pt idx="31">
                  <c:v>0.98019867330675525</c:v>
                </c:pt>
                <c:pt idx="32">
                  <c:v>0.95122942450071413</c:v>
                </c:pt>
                <c:pt idx="33">
                  <c:v>0.92311634638663609</c:v>
                </c:pt>
                <c:pt idx="34">
                  <c:v>0.90483741803595985</c:v>
                </c:pt>
                <c:pt idx="35">
                  <c:v>0.88692043671715781</c:v>
                </c:pt>
                <c:pt idx="36">
                  <c:v>0.83527021141127222</c:v>
                </c:pt>
                <c:pt idx="37">
                  <c:v>0.78662786106655358</c:v>
                </c:pt>
                <c:pt idx="38">
                  <c:v>0.74081822068171799</c:v>
                </c:pt>
                <c:pt idx="39">
                  <c:v>0.74081822068171799</c:v>
                </c:pt>
                <c:pt idx="40">
                  <c:v>0.74081822068171799</c:v>
                </c:pt>
                <c:pt idx="41">
                  <c:v>0.74081822068171799</c:v>
                </c:pt>
                <c:pt idx="42">
                  <c:v>0.74081822068171799</c:v>
                </c:pt>
                <c:pt idx="43">
                  <c:v>0.74081822068171799</c:v>
                </c:pt>
                <c:pt idx="44">
                  <c:v>0.74081822068171799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4E-4013-9CFE-55F698A20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309352"/>
        <c:axId val="343308368"/>
      </c:scatterChart>
      <c:valAx>
        <c:axId val="3856772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43303448"/>
        <c:crosses val="autoZero"/>
        <c:crossBetween val="midCat"/>
      </c:valAx>
      <c:valAx>
        <c:axId val="343303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677232"/>
        <c:crosses val="autoZero"/>
        <c:crossBetween val="midCat"/>
      </c:valAx>
      <c:valAx>
        <c:axId val="34330836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309352"/>
        <c:crosses val="max"/>
        <c:crossBetween val="midCat"/>
      </c:valAx>
      <c:valAx>
        <c:axId val="343309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308368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270800524934383"/>
          <c:y val="0.18113371245261004"/>
          <c:w val="0.20029527559055121"/>
          <c:h val="0.24479221347331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574468085106383"/>
          <c:y val="0.11111146571010043"/>
          <c:w val="0.72553191489361701"/>
          <c:h val="0.60457709283437"/>
        </c:manualLayout>
      </c:layout>
      <c:scatterChart>
        <c:scatterStyle val="lineMarker"/>
        <c:varyColors val="0"/>
        <c:ser>
          <c:idx val="8"/>
          <c:order val="0"/>
          <c:tx>
            <c:strRef>
              <c:f>'Len-1'!$C$16</c:f>
              <c:strCache>
                <c:ptCount val="1"/>
                <c:pt idx="0">
                  <c:v>selex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'Len-1'!$B$17:$B$141</c:f>
              <c:numCache>
                <c:formatCode>General</c:formatCode>
                <c:ptCount val="125"/>
                <c:pt idx="0">
                  <c:v>0.5</c:v>
                </c:pt>
                <c:pt idx="1">
                  <c:v>1.5</c:v>
                </c:pt>
                <c:pt idx="2">
                  <c:v>2.5</c:v>
                </c:pt>
                <c:pt idx="3">
                  <c:v>3.5</c:v>
                </c:pt>
                <c:pt idx="4">
                  <c:v>4.5</c:v>
                </c:pt>
                <c:pt idx="5">
                  <c:v>5.5</c:v>
                </c:pt>
                <c:pt idx="6">
                  <c:v>6.5</c:v>
                </c:pt>
                <c:pt idx="7">
                  <c:v>7.5</c:v>
                </c:pt>
                <c:pt idx="8">
                  <c:v>8.5</c:v>
                </c:pt>
                <c:pt idx="9">
                  <c:v>9.5</c:v>
                </c:pt>
                <c:pt idx="10">
                  <c:v>10.5</c:v>
                </c:pt>
                <c:pt idx="11">
                  <c:v>11.5</c:v>
                </c:pt>
                <c:pt idx="12">
                  <c:v>12.5</c:v>
                </c:pt>
                <c:pt idx="13">
                  <c:v>13.5</c:v>
                </c:pt>
                <c:pt idx="14">
                  <c:v>14.5</c:v>
                </c:pt>
                <c:pt idx="15">
                  <c:v>15.5</c:v>
                </c:pt>
                <c:pt idx="16">
                  <c:v>16.5</c:v>
                </c:pt>
                <c:pt idx="17">
                  <c:v>17.5</c:v>
                </c:pt>
                <c:pt idx="18">
                  <c:v>18.5</c:v>
                </c:pt>
                <c:pt idx="19">
                  <c:v>19.5</c:v>
                </c:pt>
                <c:pt idx="20">
                  <c:v>20.5</c:v>
                </c:pt>
                <c:pt idx="21">
                  <c:v>21.5</c:v>
                </c:pt>
                <c:pt idx="22">
                  <c:v>22.5</c:v>
                </c:pt>
                <c:pt idx="23">
                  <c:v>23.5</c:v>
                </c:pt>
                <c:pt idx="24">
                  <c:v>24.5</c:v>
                </c:pt>
                <c:pt idx="25">
                  <c:v>25.5</c:v>
                </c:pt>
                <c:pt idx="26">
                  <c:v>26.5</c:v>
                </c:pt>
                <c:pt idx="27">
                  <c:v>27.5</c:v>
                </c:pt>
                <c:pt idx="28">
                  <c:v>28.5</c:v>
                </c:pt>
                <c:pt idx="29">
                  <c:v>29.5</c:v>
                </c:pt>
                <c:pt idx="30">
                  <c:v>30.5</c:v>
                </c:pt>
                <c:pt idx="31">
                  <c:v>31.5</c:v>
                </c:pt>
                <c:pt idx="32">
                  <c:v>32.5</c:v>
                </c:pt>
                <c:pt idx="33">
                  <c:v>33.5</c:v>
                </c:pt>
                <c:pt idx="34">
                  <c:v>34.5</c:v>
                </c:pt>
                <c:pt idx="35">
                  <c:v>35.5</c:v>
                </c:pt>
                <c:pt idx="36">
                  <c:v>36.5</c:v>
                </c:pt>
                <c:pt idx="37">
                  <c:v>37.5</c:v>
                </c:pt>
                <c:pt idx="38">
                  <c:v>38.5</c:v>
                </c:pt>
                <c:pt idx="39">
                  <c:v>39.5</c:v>
                </c:pt>
                <c:pt idx="40">
                  <c:v>40.5</c:v>
                </c:pt>
                <c:pt idx="41">
                  <c:v>41.5</c:v>
                </c:pt>
                <c:pt idx="42">
                  <c:v>42.5</c:v>
                </c:pt>
                <c:pt idx="43">
                  <c:v>43.5</c:v>
                </c:pt>
                <c:pt idx="44">
                  <c:v>44.5</c:v>
                </c:pt>
                <c:pt idx="45">
                  <c:v>45.5</c:v>
                </c:pt>
                <c:pt idx="46">
                  <c:v>46.5</c:v>
                </c:pt>
                <c:pt idx="47">
                  <c:v>47.5</c:v>
                </c:pt>
                <c:pt idx="48">
                  <c:v>48.5</c:v>
                </c:pt>
                <c:pt idx="49">
                  <c:v>49.5</c:v>
                </c:pt>
                <c:pt idx="50">
                  <c:v>50.5</c:v>
                </c:pt>
                <c:pt idx="51">
                  <c:v>51.5</c:v>
                </c:pt>
                <c:pt idx="52">
                  <c:v>52.5</c:v>
                </c:pt>
                <c:pt idx="53">
                  <c:v>53.5</c:v>
                </c:pt>
                <c:pt idx="54">
                  <c:v>54.5</c:v>
                </c:pt>
                <c:pt idx="55">
                  <c:v>55.5</c:v>
                </c:pt>
                <c:pt idx="56">
                  <c:v>56.5</c:v>
                </c:pt>
                <c:pt idx="57">
                  <c:v>57.5</c:v>
                </c:pt>
                <c:pt idx="58">
                  <c:v>58.5</c:v>
                </c:pt>
                <c:pt idx="59">
                  <c:v>59.5</c:v>
                </c:pt>
                <c:pt idx="60">
                  <c:v>60.5</c:v>
                </c:pt>
                <c:pt idx="61">
                  <c:v>61.5</c:v>
                </c:pt>
                <c:pt idx="62">
                  <c:v>62.5</c:v>
                </c:pt>
                <c:pt idx="63">
                  <c:v>63.5</c:v>
                </c:pt>
                <c:pt idx="64">
                  <c:v>64.5</c:v>
                </c:pt>
                <c:pt idx="65">
                  <c:v>65.5</c:v>
                </c:pt>
                <c:pt idx="66">
                  <c:v>66.5</c:v>
                </c:pt>
                <c:pt idx="67">
                  <c:v>67.5</c:v>
                </c:pt>
                <c:pt idx="68">
                  <c:v>68.5</c:v>
                </c:pt>
                <c:pt idx="69">
                  <c:v>69.5</c:v>
                </c:pt>
                <c:pt idx="70">
                  <c:v>70.5</c:v>
                </c:pt>
                <c:pt idx="71">
                  <c:v>71.5</c:v>
                </c:pt>
                <c:pt idx="72">
                  <c:v>72.5</c:v>
                </c:pt>
                <c:pt idx="73">
                  <c:v>73.5</c:v>
                </c:pt>
                <c:pt idx="74">
                  <c:v>74.5</c:v>
                </c:pt>
                <c:pt idx="75">
                  <c:v>75.5</c:v>
                </c:pt>
                <c:pt idx="76">
                  <c:v>76.5</c:v>
                </c:pt>
                <c:pt idx="77">
                  <c:v>77.5</c:v>
                </c:pt>
                <c:pt idx="78">
                  <c:v>78.5</c:v>
                </c:pt>
                <c:pt idx="79">
                  <c:v>79.5</c:v>
                </c:pt>
                <c:pt idx="80">
                  <c:v>80.5</c:v>
                </c:pt>
                <c:pt idx="81">
                  <c:v>80.5</c:v>
                </c:pt>
                <c:pt idx="82">
                  <c:v>80.5</c:v>
                </c:pt>
                <c:pt idx="83">
                  <c:v>80.5</c:v>
                </c:pt>
                <c:pt idx="84">
                  <c:v>80.5</c:v>
                </c:pt>
                <c:pt idx="85">
                  <c:v>80.5</c:v>
                </c:pt>
                <c:pt idx="86">
                  <c:v>80.5</c:v>
                </c:pt>
                <c:pt idx="87">
                  <c:v>80.5</c:v>
                </c:pt>
                <c:pt idx="88">
                  <c:v>80.5</c:v>
                </c:pt>
                <c:pt idx="89">
                  <c:v>80.5</c:v>
                </c:pt>
                <c:pt idx="90">
                  <c:v>80.5</c:v>
                </c:pt>
                <c:pt idx="91">
                  <c:v>80.5</c:v>
                </c:pt>
                <c:pt idx="92">
                  <c:v>80.5</c:v>
                </c:pt>
                <c:pt idx="93">
                  <c:v>80.5</c:v>
                </c:pt>
                <c:pt idx="94">
                  <c:v>80.5</c:v>
                </c:pt>
                <c:pt idx="95">
                  <c:v>80.5</c:v>
                </c:pt>
                <c:pt idx="96">
                  <c:v>80.5</c:v>
                </c:pt>
                <c:pt idx="97">
                  <c:v>80.5</c:v>
                </c:pt>
                <c:pt idx="98">
                  <c:v>80.5</c:v>
                </c:pt>
                <c:pt idx="99">
                  <c:v>80.5</c:v>
                </c:pt>
                <c:pt idx="100">
                  <c:v>80.5</c:v>
                </c:pt>
                <c:pt idx="101">
                  <c:v>80.5</c:v>
                </c:pt>
                <c:pt idx="102">
                  <c:v>80.5</c:v>
                </c:pt>
                <c:pt idx="103">
                  <c:v>80.5</c:v>
                </c:pt>
                <c:pt idx="104">
                  <c:v>80.5</c:v>
                </c:pt>
                <c:pt idx="105">
                  <c:v>80.5</c:v>
                </c:pt>
                <c:pt idx="106">
                  <c:v>80.5</c:v>
                </c:pt>
                <c:pt idx="107">
                  <c:v>80.5</c:v>
                </c:pt>
                <c:pt idx="108">
                  <c:v>80.5</c:v>
                </c:pt>
                <c:pt idx="109">
                  <c:v>80.5</c:v>
                </c:pt>
                <c:pt idx="110">
                  <c:v>80.5</c:v>
                </c:pt>
                <c:pt idx="111">
                  <c:v>80.5</c:v>
                </c:pt>
                <c:pt idx="112">
                  <c:v>80.5</c:v>
                </c:pt>
                <c:pt idx="113">
                  <c:v>80.5</c:v>
                </c:pt>
                <c:pt idx="114">
                  <c:v>80.5</c:v>
                </c:pt>
                <c:pt idx="115">
                  <c:v>80.5</c:v>
                </c:pt>
                <c:pt idx="116">
                  <c:v>80.5</c:v>
                </c:pt>
                <c:pt idx="117">
                  <c:v>80.5</c:v>
                </c:pt>
                <c:pt idx="118">
                  <c:v>80.5</c:v>
                </c:pt>
                <c:pt idx="119">
                  <c:v>80.5</c:v>
                </c:pt>
                <c:pt idx="120">
                  <c:v>80.5</c:v>
                </c:pt>
                <c:pt idx="121">
                  <c:v>80.5</c:v>
                </c:pt>
                <c:pt idx="122">
                  <c:v>80.5</c:v>
                </c:pt>
                <c:pt idx="123">
                  <c:v>80.5</c:v>
                </c:pt>
                <c:pt idx="124">
                  <c:v>80.5</c:v>
                </c:pt>
              </c:numCache>
            </c:numRef>
          </c:xVal>
          <c:yVal>
            <c:numRef>
              <c:f>'Len-1'!$C$17:$C$141</c:f>
              <c:numCache>
                <c:formatCode>0.000</c:formatCode>
                <c:ptCount val="125"/>
                <c:pt idx="0">
                  <c:v>8.8903613887799443E-6</c:v>
                </c:pt>
                <c:pt idx="1">
                  <c:v>1.1934203891726817E-5</c:v>
                </c:pt>
                <c:pt idx="2">
                  <c:v>1.6020166995826902E-5</c:v>
                </c:pt>
                <c:pt idx="3">
                  <c:v>2.15050282255806E-5</c:v>
                </c:pt>
                <c:pt idx="4">
                  <c:v>2.8867699733858926E-5</c:v>
                </c:pt>
                <c:pt idx="5">
                  <c:v>3.8751029688762125E-5</c:v>
                </c:pt>
                <c:pt idx="6">
                  <c:v>5.201790355715704E-5</c:v>
                </c:pt>
                <c:pt idx="7">
                  <c:v>6.982653161927E-5</c:v>
                </c:pt>
                <c:pt idx="8">
                  <c:v>9.3731474287412419E-5</c:v>
                </c:pt>
                <c:pt idx="9">
                  <c:v>1.2581918598030754E-4</c:v>
                </c:pt>
                <c:pt idx="10">
                  <c:v>1.6888983953606827E-4</c:v>
                </c:pt>
                <c:pt idx="11">
                  <c:v>2.2670117497800563E-4</c:v>
                </c:pt>
                <c:pt idx="12">
                  <c:v>3.0429542537716069E-4</c:v>
                </c:pt>
                <c:pt idx="13">
                  <c:v>4.0843743403218117E-4</c:v>
                </c:pt>
                <c:pt idx="14">
                  <c:v>5.4820143928154864E-4</c:v>
                </c:pt>
                <c:pt idx="15">
                  <c:v>7.3575636038830769E-4</c:v>
                </c:pt>
                <c:pt idx="16">
                  <c:v>9.8741562834931003E-4</c:v>
                </c:pt>
                <c:pt idx="17">
                  <c:v>1.3250386893592224E-3</c:v>
                </c:pt>
                <c:pt idx="18">
                  <c:v>1.7778984007725564E-3</c:v>
                </c:pt>
                <c:pt idx="19">
                  <c:v>2.3851627473903134E-3</c:v>
                </c:pt>
                <c:pt idx="20">
                  <c:v>3.1991813850315307E-3</c:v>
                </c:pt>
                <c:pt idx="21">
                  <c:v>4.2898172057643253E-3</c:v>
                </c:pt>
                <c:pt idx="22">
                  <c:v>5.7501178600824054E-3</c:v>
                </c:pt>
                <c:pt idx="23">
                  <c:v>7.7036748015770927E-3</c:v>
                </c:pt>
                <c:pt idx="24">
                  <c:v>1.0314052138263039E-2</c:v>
                </c:pt>
                <c:pt idx="25">
                  <c:v>1.3796653289994501E-2</c:v>
                </c:pt>
                <c:pt idx="26">
                  <c:v>1.8433273496656643E-2</c:v>
                </c:pt>
                <c:pt idx="27">
                  <c:v>2.4589264026618745E-2</c:v>
                </c:pt>
                <c:pt idx="28">
                  <c:v>3.2732556729938196E-2</c:v>
                </c:pt>
                <c:pt idx="29">
                  <c:v>4.3452547062813859E-2</c:v>
                </c:pt>
                <c:pt idx="30">
                  <c:v>5.7474747740164214E-2</c:v>
                </c:pt>
                <c:pt idx="31">
                  <c:v>7.566400165843791E-2</c:v>
                </c:pt>
                <c:pt idx="32">
                  <c:v>9.9005010697117077E-2</c:v>
                </c:pt>
                <c:pt idx="33">
                  <c:v>0.12854498369787984</c:v>
                </c:pt>
                <c:pt idx="34">
                  <c:v>0.16528191704798764</c:v>
                </c:pt>
                <c:pt idx="35">
                  <c:v>0.20998803456657261</c:v>
                </c:pt>
                <c:pt idx="36">
                  <c:v>0.26297678305924127</c:v>
                </c:pt>
                <c:pt idx="37">
                  <c:v>0.32385542054539385</c:v>
                </c:pt>
                <c:pt idx="38">
                  <c:v>0.39134410295349109</c:v>
                </c:pt>
                <c:pt idx="39">
                  <c:v>0.46326084676106677</c:v>
                </c:pt>
                <c:pt idx="40">
                  <c:v>0.53673915323893318</c:v>
                </c:pt>
                <c:pt idx="41">
                  <c:v>0.60865589704650891</c:v>
                </c:pt>
                <c:pt idx="42">
                  <c:v>0.67614457945460615</c:v>
                </c:pt>
                <c:pt idx="43">
                  <c:v>0.73702321694075879</c:v>
                </c:pt>
                <c:pt idx="44">
                  <c:v>0.79001196543342733</c:v>
                </c:pt>
                <c:pt idx="45">
                  <c:v>0.83471808295201244</c:v>
                </c:pt>
                <c:pt idx="46">
                  <c:v>0.87145501630212019</c:v>
                </c:pt>
                <c:pt idx="47">
                  <c:v>0.90099498930288291</c:v>
                </c:pt>
                <c:pt idx="48">
                  <c:v>0.9243359983415621</c:v>
                </c:pt>
                <c:pt idx="49">
                  <c:v>0.94252525225983574</c:v>
                </c:pt>
                <c:pt idx="50">
                  <c:v>0.95654745293718613</c:v>
                </c:pt>
                <c:pt idx="51">
                  <c:v>0.96726744327006176</c:v>
                </c:pt>
                <c:pt idx="52">
                  <c:v>0.97541073597338135</c:v>
                </c:pt>
                <c:pt idx="53">
                  <c:v>0.98156672650334342</c:v>
                </c:pt>
                <c:pt idx="54">
                  <c:v>0.98620334671000554</c:v>
                </c:pt>
                <c:pt idx="55">
                  <c:v>0.98968594786173691</c:v>
                </c:pt>
                <c:pt idx="56">
                  <c:v>0.99229632519842292</c:v>
                </c:pt>
                <c:pt idx="57">
                  <c:v>0.99424988213991772</c:v>
                </c:pt>
                <c:pt idx="58">
                  <c:v>0.99571018279423562</c:v>
                </c:pt>
                <c:pt idx="59">
                  <c:v>0.9968008186149685</c:v>
                </c:pt>
                <c:pt idx="60">
                  <c:v>0.9976148372526098</c:v>
                </c:pt>
                <c:pt idx="61">
                  <c:v>0.99822210159922742</c:v>
                </c:pt>
                <c:pt idx="62">
                  <c:v>0.99867496131064082</c:v>
                </c:pt>
                <c:pt idx="63">
                  <c:v>0.99901258437165064</c:v>
                </c:pt>
                <c:pt idx="64">
                  <c:v>0.99926424363961175</c:v>
                </c:pt>
                <c:pt idx="65">
                  <c:v>0.99945179856071853</c:v>
                </c:pt>
                <c:pt idx="66">
                  <c:v>0.99959156256596782</c:v>
                </c:pt>
                <c:pt idx="67">
                  <c:v>0.99969570457462276</c:v>
                </c:pt>
                <c:pt idx="68">
                  <c:v>0.99977329882502197</c:v>
                </c:pt>
                <c:pt idx="69">
                  <c:v>0.99983111016046389</c:v>
                </c:pt>
                <c:pt idx="70">
                  <c:v>0.99987418081401969</c:v>
                </c:pt>
                <c:pt idx="71">
                  <c:v>0.99990626852571263</c:v>
                </c:pt>
                <c:pt idx="72">
                  <c:v>0.99993017346838065</c:v>
                </c:pt>
                <c:pt idx="73">
                  <c:v>0.99994798209644287</c:v>
                </c:pt>
                <c:pt idx="74">
                  <c:v>0.99996124897031136</c:v>
                </c:pt>
                <c:pt idx="75">
                  <c:v>0.99997113230026613</c:v>
                </c:pt>
                <c:pt idx="76">
                  <c:v>0.99997849497177438</c:v>
                </c:pt>
                <c:pt idx="77">
                  <c:v>0.99998397983300413</c:v>
                </c:pt>
                <c:pt idx="78">
                  <c:v>0.99998806579610822</c:v>
                </c:pt>
                <c:pt idx="79">
                  <c:v>0.99999110963861115</c:v>
                </c:pt>
                <c:pt idx="80">
                  <c:v>0.99999337714815506</c:v>
                </c:pt>
                <c:pt idx="81">
                  <c:v>0.99999337714815506</c:v>
                </c:pt>
                <c:pt idx="82">
                  <c:v>0.99999337714815506</c:v>
                </c:pt>
                <c:pt idx="83">
                  <c:v>0.99999337714815506</c:v>
                </c:pt>
                <c:pt idx="84">
                  <c:v>0.99999337714815506</c:v>
                </c:pt>
                <c:pt idx="85">
                  <c:v>0.99999337714815506</c:v>
                </c:pt>
                <c:pt idx="86">
                  <c:v>0.99999337714815506</c:v>
                </c:pt>
                <c:pt idx="87">
                  <c:v>0.99999337714815506</c:v>
                </c:pt>
                <c:pt idx="88">
                  <c:v>0.99999337714815506</c:v>
                </c:pt>
                <c:pt idx="89">
                  <c:v>0.99999337714815506</c:v>
                </c:pt>
                <c:pt idx="90">
                  <c:v>0.99999337714815506</c:v>
                </c:pt>
                <c:pt idx="91">
                  <c:v>0.99999337714815506</c:v>
                </c:pt>
                <c:pt idx="92">
                  <c:v>0.99999337714815506</c:v>
                </c:pt>
                <c:pt idx="93">
                  <c:v>0.99999337714815506</c:v>
                </c:pt>
                <c:pt idx="94">
                  <c:v>0.99999337714815506</c:v>
                </c:pt>
                <c:pt idx="95">
                  <c:v>0.99999337714815506</c:v>
                </c:pt>
                <c:pt idx="96">
                  <c:v>0.99999337714815506</c:v>
                </c:pt>
                <c:pt idx="97">
                  <c:v>0.99999337714815506</c:v>
                </c:pt>
                <c:pt idx="98">
                  <c:v>0.99999337714815506</c:v>
                </c:pt>
                <c:pt idx="99">
                  <c:v>0.99999337714815506</c:v>
                </c:pt>
                <c:pt idx="100">
                  <c:v>0.99999337714815506</c:v>
                </c:pt>
                <c:pt idx="101">
                  <c:v>0.99999337714815506</c:v>
                </c:pt>
                <c:pt idx="102">
                  <c:v>0.99999337714815506</c:v>
                </c:pt>
                <c:pt idx="103">
                  <c:v>0.99999337714815506</c:v>
                </c:pt>
                <c:pt idx="104">
                  <c:v>0.99999337714815506</c:v>
                </c:pt>
                <c:pt idx="105">
                  <c:v>0.99999337714815506</c:v>
                </c:pt>
                <c:pt idx="106">
                  <c:v>0.99999337714815506</c:v>
                </c:pt>
                <c:pt idx="107">
                  <c:v>0.99999337714815506</c:v>
                </c:pt>
                <c:pt idx="108">
                  <c:v>0.99999337714815506</c:v>
                </c:pt>
                <c:pt idx="109">
                  <c:v>0.99999337714815506</c:v>
                </c:pt>
                <c:pt idx="110">
                  <c:v>0.99999337714815506</c:v>
                </c:pt>
                <c:pt idx="111">
                  <c:v>0.99999337714815506</c:v>
                </c:pt>
                <c:pt idx="112">
                  <c:v>0.99999337714815506</c:v>
                </c:pt>
                <c:pt idx="113">
                  <c:v>0.99999337714815506</c:v>
                </c:pt>
                <c:pt idx="114">
                  <c:v>0.99999337714815506</c:v>
                </c:pt>
                <c:pt idx="115">
                  <c:v>0.99999337714815506</c:v>
                </c:pt>
                <c:pt idx="116">
                  <c:v>0.99999337714815506</c:v>
                </c:pt>
                <c:pt idx="117">
                  <c:v>0.99999337714815506</c:v>
                </c:pt>
                <c:pt idx="118">
                  <c:v>0.99999337714815506</c:v>
                </c:pt>
                <c:pt idx="119">
                  <c:v>0.99999337714815506</c:v>
                </c:pt>
                <c:pt idx="120">
                  <c:v>0.99999337714815506</c:v>
                </c:pt>
                <c:pt idx="121">
                  <c:v>0.99999337714815506</c:v>
                </c:pt>
                <c:pt idx="122">
                  <c:v>0.99999337714815506</c:v>
                </c:pt>
                <c:pt idx="123">
                  <c:v>0.99999337714815506</c:v>
                </c:pt>
                <c:pt idx="124">
                  <c:v>0.99999337714815506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27-4B75-82F2-033FDDAD5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935536"/>
        <c:axId val="1"/>
      </c:scatterChart>
      <c:valAx>
        <c:axId val="273935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350" b="1" i="0" u="none" strike="noStrike" baseline="0">
                    <a:solidFill>
                      <a:srgbClr val="000000"/>
                    </a:solidFill>
                    <a:latin typeface="MS Sans Serif"/>
                    <a:ea typeface="MS Sans Serif"/>
                    <a:cs typeface="MS Sans Serif"/>
                  </a:defRPr>
                </a:pPr>
                <a:r>
                  <a:rPr lang="en-US"/>
                  <a:t>Length</a:t>
                </a:r>
              </a:p>
            </c:rich>
          </c:tx>
          <c:layout>
            <c:manualLayout>
              <c:xMode val="edge"/>
              <c:yMode val="edge"/>
              <c:x val="0.40851071698229507"/>
              <c:y val="0.84313999965690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MS Sans Serif"/>
                <a:ea typeface="MS Sans Serif"/>
                <a:cs typeface="MS Sans Serif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.0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350" b="1" i="0" u="none" strike="noStrike" baseline="0">
                    <a:solidFill>
                      <a:srgbClr val="000000"/>
                    </a:solidFill>
                    <a:latin typeface="MS Sans Serif"/>
                    <a:ea typeface="MS Sans Serif"/>
                    <a:cs typeface="MS Sans Serif"/>
                  </a:defRPr>
                </a:pPr>
                <a:r>
                  <a:rPr lang="en-US"/>
                  <a:t>SELECTIVITY</a:t>
                </a:r>
              </a:p>
            </c:rich>
          </c:tx>
          <c:layout>
            <c:manualLayout>
              <c:xMode val="edge"/>
              <c:yMode val="edge"/>
              <c:x val="1.0638396227868777E-2"/>
              <c:y val="0.1895431698488669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MS Sans Serif"/>
                <a:ea typeface="MS Sans Serif"/>
                <a:cs typeface="MS Sans Serif"/>
              </a:defRPr>
            </a:pPr>
            <a:endParaRPr lang="en-US"/>
          </a:p>
        </c:txPr>
        <c:crossAx val="273935536"/>
        <c:crosses val="autoZero"/>
        <c:crossBetween val="midCat"/>
        <c:majorUnit val="0.2"/>
      </c:valAx>
      <c:spPr>
        <a:noFill/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MS Sans Serif"/>
          <a:ea typeface="MS Sans Serif"/>
          <a:cs typeface="MS Sans Serif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616225113507291"/>
          <c:y val="0.11147540983606558"/>
          <c:w val="0.7356084417565234"/>
          <c:h val="0.60327868852459021"/>
        </c:manualLayout>
      </c:layout>
      <c:scatterChart>
        <c:scatterStyle val="lineMarker"/>
        <c:varyColors val="0"/>
        <c:ser>
          <c:idx val="8"/>
          <c:order val="0"/>
          <c:tx>
            <c:strRef>
              <c:f>'Age-12'!$C$16</c:f>
              <c:strCache>
                <c:ptCount val="1"/>
                <c:pt idx="0">
                  <c:v>selex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'Age-12'!$B$17:$B$141</c:f>
              <c:numCache>
                <c:formatCode>General</c:formatCode>
                <c:ptCount val="1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</c:numCache>
            </c:numRef>
          </c:xVal>
          <c:yVal>
            <c:numRef>
              <c:f>'Age-12'!$C$17:$C$141</c:f>
              <c:numCache>
                <c:formatCode>0.000</c:formatCode>
                <c:ptCount val="125"/>
                <c:pt idx="0">
                  <c:v>1.0370292068795897E-3</c:v>
                </c:pt>
                <c:pt idx="1">
                  <c:v>2.7624309392265205E-3</c:v>
                </c:pt>
                <c:pt idx="2">
                  <c:v>7.3374580706613958E-3</c:v>
                </c:pt>
                <c:pt idx="3">
                  <c:v>1.9342497699835048E-2</c:v>
                </c:pt>
                <c:pt idx="4">
                  <c:v>5.000000000000001E-2</c:v>
                </c:pt>
                <c:pt idx="5">
                  <c:v>0.12314713802987556</c:v>
                </c:pt>
                <c:pt idx="6">
                  <c:v>0.27259828550900245</c:v>
                </c:pt>
                <c:pt idx="7">
                  <c:v>0.5</c:v>
                </c:pt>
                <c:pt idx="8">
                  <c:v>0.72740171449099755</c:v>
                </c:pt>
                <c:pt idx="9">
                  <c:v>0.87685286197012446</c:v>
                </c:pt>
                <c:pt idx="10">
                  <c:v>0.95000000000000007</c:v>
                </c:pt>
                <c:pt idx="11">
                  <c:v>0.98065750230016491</c:v>
                </c:pt>
                <c:pt idx="12">
                  <c:v>0.99266254192933856</c:v>
                </c:pt>
                <c:pt idx="13">
                  <c:v>0.99723756906077354</c:v>
                </c:pt>
                <c:pt idx="14">
                  <c:v>0.99896297079312035</c:v>
                </c:pt>
                <c:pt idx="15">
                  <c:v>0.99961111474753284</c:v>
                </c:pt>
                <c:pt idx="16">
                  <c:v>0.99985422740524788</c:v>
                </c:pt>
                <c:pt idx="17">
                  <c:v>0.9999453658401668</c:v>
                </c:pt>
                <c:pt idx="18">
                  <c:v>0.99997952481171337</c:v>
                </c:pt>
                <c:pt idx="19">
                  <c:v>0.99999232669848537</c:v>
                </c:pt>
                <c:pt idx="20">
                  <c:v>0.99999712436906474</c:v>
                </c:pt>
                <c:pt idx="21">
                  <c:v>0.99999712436906474</c:v>
                </c:pt>
                <c:pt idx="22">
                  <c:v>0.99999712436906474</c:v>
                </c:pt>
                <c:pt idx="23">
                  <c:v>0.99999712436906474</c:v>
                </c:pt>
                <c:pt idx="24">
                  <c:v>0.99999712436906474</c:v>
                </c:pt>
                <c:pt idx="25">
                  <c:v>0.99999712436906474</c:v>
                </c:pt>
                <c:pt idx="26">
                  <c:v>0.99999712436906474</c:v>
                </c:pt>
                <c:pt idx="27">
                  <c:v>0.99999712436906474</c:v>
                </c:pt>
                <c:pt idx="28">
                  <c:v>0.99999712436906474</c:v>
                </c:pt>
                <c:pt idx="29">
                  <c:v>0.99999712436906474</c:v>
                </c:pt>
                <c:pt idx="30">
                  <c:v>0.99999712436906474</c:v>
                </c:pt>
                <c:pt idx="31">
                  <c:v>0.99999712436906474</c:v>
                </c:pt>
                <c:pt idx="32">
                  <c:v>0.99999712436906474</c:v>
                </c:pt>
                <c:pt idx="33">
                  <c:v>0.99999712436906474</c:v>
                </c:pt>
                <c:pt idx="34">
                  <c:v>0.99999712436906474</c:v>
                </c:pt>
                <c:pt idx="35">
                  <c:v>0.99999712436906474</c:v>
                </c:pt>
                <c:pt idx="36">
                  <c:v>0.99999712436906474</c:v>
                </c:pt>
                <c:pt idx="37">
                  <c:v>0.99999712436906474</c:v>
                </c:pt>
                <c:pt idx="38">
                  <c:v>0.99999712436906474</c:v>
                </c:pt>
                <c:pt idx="39">
                  <c:v>0.99999712436906474</c:v>
                </c:pt>
                <c:pt idx="40">
                  <c:v>0.99999712436906474</c:v>
                </c:pt>
                <c:pt idx="41">
                  <c:v>0.99999712436906474</c:v>
                </c:pt>
                <c:pt idx="42">
                  <c:v>0.99999712436906474</c:v>
                </c:pt>
                <c:pt idx="43">
                  <c:v>0.99999712436906474</c:v>
                </c:pt>
                <c:pt idx="44">
                  <c:v>0.99999712436906474</c:v>
                </c:pt>
                <c:pt idx="45">
                  <c:v>0.99999712436906474</c:v>
                </c:pt>
                <c:pt idx="46">
                  <c:v>0.99999712436906474</c:v>
                </c:pt>
                <c:pt idx="47">
                  <c:v>0.99999712436906474</c:v>
                </c:pt>
                <c:pt idx="48">
                  <c:v>0.99999712436906474</c:v>
                </c:pt>
                <c:pt idx="49">
                  <c:v>0.99999712436906474</c:v>
                </c:pt>
                <c:pt idx="50">
                  <c:v>0.99999712436906474</c:v>
                </c:pt>
                <c:pt idx="51">
                  <c:v>0.99999712436906474</c:v>
                </c:pt>
                <c:pt idx="52">
                  <c:v>0.99999712436906474</c:v>
                </c:pt>
                <c:pt idx="53">
                  <c:v>0.99999712436906474</c:v>
                </c:pt>
                <c:pt idx="54">
                  <c:v>0.99999712436906474</c:v>
                </c:pt>
                <c:pt idx="55">
                  <c:v>0.99999712436906474</c:v>
                </c:pt>
                <c:pt idx="56">
                  <c:v>0.99999712436906474</c:v>
                </c:pt>
                <c:pt idx="57">
                  <c:v>0.99999712436906474</c:v>
                </c:pt>
                <c:pt idx="58">
                  <c:v>0.99999712436906474</c:v>
                </c:pt>
                <c:pt idx="59">
                  <c:v>0.99999712436906474</c:v>
                </c:pt>
                <c:pt idx="60">
                  <c:v>0.99999712436906474</c:v>
                </c:pt>
                <c:pt idx="61">
                  <c:v>0.99999712436906474</c:v>
                </c:pt>
                <c:pt idx="62">
                  <c:v>0.99999712436906474</c:v>
                </c:pt>
                <c:pt idx="63">
                  <c:v>0.99999712436906474</c:v>
                </c:pt>
                <c:pt idx="64">
                  <c:v>0.99999712436906474</c:v>
                </c:pt>
                <c:pt idx="65">
                  <c:v>0.99999712436906474</c:v>
                </c:pt>
                <c:pt idx="66">
                  <c:v>0.99999712436906474</c:v>
                </c:pt>
                <c:pt idx="67">
                  <c:v>0.99999712436906474</c:v>
                </c:pt>
                <c:pt idx="68">
                  <c:v>0.99999712436906474</c:v>
                </c:pt>
                <c:pt idx="69">
                  <c:v>0.99999712436906474</c:v>
                </c:pt>
                <c:pt idx="70">
                  <c:v>0.99999712436906474</c:v>
                </c:pt>
                <c:pt idx="71">
                  <c:v>0.99999712436906474</c:v>
                </c:pt>
                <c:pt idx="72">
                  <c:v>0.99999712436906474</c:v>
                </c:pt>
                <c:pt idx="73">
                  <c:v>0.99999712436906474</c:v>
                </c:pt>
                <c:pt idx="74">
                  <c:v>0.99999712436906474</c:v>
                </c:pt>
                <c:pt idx="75">
                  <c:v>0.99999712436906474</c:v>
                </c:pt>
                <c:pt idx="76">
                  <c:v>0.99999712436906474</c:v>
                </c:pt>
                <c:pt idx="77">
                  <c:v>0.99999712436906474</c:v>
                </c:pt>
                <c:pt idx="78">
                  <c:v>0.99999712436906474</c:v>
                </c:pt>
                <c:pt idx="79">
                  <c:v>0.99999712436906474</c:v>
                </c:pt>
                <c:pt idx="80">
                  <c:v>0.99999712436906474</c:v>
                </c:pt>
                <c:pt idx="81">
                  <c:v>0.99999712436906474</c:v>
                </c:pt>
                <c:pt idx="82">
                  <c:v>0.99999712436906474</c:v>
                </c:pt>
                <c:pt idx="83">
                  <c:v>0.99999712436906474</c:v>
                </c:pt>
                <c:pt idx="84">
                  <c:v>0.99999712436906474</c:v>
                </c:pt>
                <c:pt idx="85">
                  <c:v>0.99999712436906474</c:v>
                </c:pt>
                <c:pt idx="86">
                  <c:v>0.99999712436906474</c:v>
                </c:pt>
                <c:pt idx="87">
                  <c:v>0.99999712436906474</c:v>
                </c:pt>
                <c:pt idx="88">
                  <c:v>0.99999712436906474</c:v>
                </c:pt>
                <c:pt idx="89">
                  <c:v>0.99999712436906474</c:v>
                </c:pt>
                <c:pt idx="90">
                  <c:v>0.99999712436906474</c:v>
                </c:pt>
                <c:pt idx="91">
                  <c:v>0.99999712436906474</c:v>
                </c:pt>
                <c:pt idx="92">
                  <c:v>0.99999712436906474</c:v>
                </c:pt>
                <c:pt idx="93">
                  <c:v>0.99999712436906474</c:v>
                </c:pt>
                <c:pt idx="94">
                  <c:v>0.99999712436906474</c:v>
                </c:pt>
                <c:pt idx="95">
                  <c:v>0.99999712436906474</c:v>
                </c:pt>
                <c:pt idx="96">
                  <c:v>0.99999712436906474</c:v>
                </c:pt>
                <c:pt idx="97">
                  <c:v>0.99999712436906474</c:v>
                </c:pt>
                <c:pt idx="98">
                  <c:v>0.99999712436906474</c:v>
                </c:pt>
                <c:pt idx="99">
                  <c:v>0.99999712436906474</c:v>
                </c:pt>
                <c:pt idx="100">
                  <c:v>0.99999712436906474</c:v>
                </c:pt>
                <c:pt idx="101">
                  <c:v>0.99999712436906474</c:v>
                </c:pt>
                <c:pt idx="102">
                  <c:v>0.99999712436906474</c:v>
                </c:pt>
                <c:pt idx="103">
                  <c:v>0.99999712436906474</c:v>
                </c:pt>
                <c:pt idx="104">
                  <c:v>0.99999712436906474</c:v>
                </c:pt>
                <c:pt idx="105">
                  <c:v>0.99999712436906474</c:v>
                </c:pt>
                <c:pt idx="106">
                  <c:v>0.99999712436906474</c:v>
                </c:pt>
                <c:pt idx="107">
                  <c:v>0.99999712436906474</c:v>
                </c:pt>
                <c:pt idx="108">
                  <c:v>0.99999712436906474</c:v>
                </c:pt>
                <c:pt idx="109">
                  <c:v>0.99999712436906474</c:v>
                </c:pt>
                <c:pt idx="110">
                  <c:v>0.99999712436906474</c:v>
                </c:pt>
                <c:pt idx="111">
                  <c:v>0.99999712436906474</c:v>
                </c:pt>
                <c:pt idx="112">
                  <c:v>0.99999712436906474</c:v>
                </c:pt>
                <c:pt idx="113">
                  <c:v>0.99999712436906474</c:v>
                </c:pt>
                <c:pt idx="114">
                  <c:v>0.99999712436906474</c:v>
                </c:pt>
                <c:pt idx="115">
                  <c:v>0.99999712436906474</c:v>
                </c:pt>
                <c:pt idx="116">
                  <c:v>0.99999712436906474</c:v>
                </c:pt>
                <c:pt idx="117">
                  <c:v>0.99999712436906474</c:v>
                </c:pt>
                <c:pt idx="118">
                  <c:v>0.99999712436906474</c:v>
                </c:pt>
                <c:pt idx="119">
                  <c:v>0.99999712436906474</c:v>
                </c:pt>
                <c:pt idx="120">
                  <c:v>0.99999712436906474</c:v>
                </c:pt>
                <c:pt idx="121">
                  <c:v>0.99999712436906474</c:v>
                </c:pt>
                <c:pt idx="122">
                  <c:v>0.99999712436906474</c:v>
                </c:pt>
                <c:pt idx="123">
                  <c:v>0.99999712436906474</c:v>
                </c:pt>
                <c:pt idx="124">
                  <c:v>0.99999712436906474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58-4C70-B312-4EDE6B9FC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026632"/>
        <c:axId val="1"/>
      </c:scatterChart>
      <c:valAx>
        <c:axId val="402026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350" b="1" i="0" u="none" strike="noStrike" baseline="0">
                    <a:solidFill>
                      <a:srgbClr val="000000"/>
                    </a:solidFill>
                    <a:latin typeface="MS Sans Serif"/>
                    <a:ea typeface="MS Sans Serif"/>
                    <a:cs typeface="MS Sans Serif"/>
                  </a:defRPr>
                </a:pPr>
                <a:r>
                  <a:rPr lang="en-US"/>
                  <a:t>Age</a:t>
                </a:r>
              </a:p>
            </c:rich>
          </c:tx>
          <c:layout>
            <c:manualLayout>
              <c:xMode val="edge"/>
              <c:yMode val="edge"/>
              <c:x val="0.41364650314233109"/>
              <c:y val="0.84262295081967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MS Sans Serif"/>
                <a:ea typeface="MS Sans Serif"/>
                <a:cs typeface="MS Sans Serif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.0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350" b="1" i="0" u="none" strike="noStrike" baseline="0">
                    <a:solidFill>
                      <a:srgbClr val="000000"/>
                    </a:solidFill>
                    <a:latin typeface="MS Sans Serif"/>
                    <a:ea typeface="MS Sans Serif"/>
                    <a:cs typeface="MS Sans Serif"/>
                  </a:defRPr>
                </a:pPr>
                <a:r>
                  <a:rPr lang="en-US"/>
                  <a:t>SELECTIVITY</a:t>
                </a:r>
              </a:p>
            </c:rich>
          </c:tx>
          <c:layout>
            <c:manualLayout>
              <c:xMode val="edge"/>
              <c:yMode val="edge"/>
              <c:x val="1.0660980810234541E-2"/>
              <c:y val="0.190163934426229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MS Sans Serif"/>
                <a:ea typeface="MS Sans Serif"/>
                <a:cs typeface="MS Sans Serif"/>
              </a:defRPr>
            </a:pPr>
            <a:endParaRPr lang="en-US"/>
          </a:p>
        </c:txPr>
        <c:crossAx val="402026632"/>
        <c:crosses val="autoZero"/>
        <c:crossBetween val="midCat"/>
        <c:majorUnit val="0.2"/>
      </c:valAx>
      <c:spPr>
        <a:noFill/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MS Sans Serif"/>
          <a:ea typeface="MS Sans Serif"/>
          <a:cs typeface="MS Sans Serif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Selex</c:v>
          </c:tx>
          <c:marker>
            <c:symbol val="none"/>
          </c:marker>
          <c:xVal>
            <c:numRef>
              <c:f>'Age -17'!$A$9:$A$32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'Age -17'!$F$9:$F$32</c:f>
              <c:numCache>
                <c:formatCode>0.000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0.10860910882495796</c:v>
                </c:pt>
                <c:pt idx="3">
                  <c:v>0.1790661479114932</c:v>
                </c:pt>
                <c:pt idx="4">
                  <c:v>0.29523016692401416</c:v>
                </c:pt>
                <c:pt idx="5">
                  <c:v>0.48675225595997157</c:v>
                </c:pt>
                <c:pt idx="6">
                  <c:v>0.59452054797019416</c:v>
                </c:pt>
                <c:pt idx="7">
                  <c:v>0.72614903707369072</c:v>
                </c:pt>
                <c:pt idx="8">
                  <c:v>0.88692043671715737</c:v>
                </c:pt>
                <c:pt idx="9">
                  <c:v>0.98019867330675525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0.90483741803595952</c:v>
                </c:pt>
                <c:pt idx="15">
                  <c:v>0.74081822068171788</c:v>
                </c:pt>
                <c:pt idx="16">
                  <c:v>0.60653065971263342</c:v>
                </c:pt>
                <c:pt idx="17">
                  <c:v>0.49658530379140953</c:v>
                </c:pt>
                <c:pt idx="18">
                  <c:v>0.33287108369807955</c:v>
                </c:pt>
                <c:pt idx="19">
                  <c:v>0.22313016014842982</c:v>
                </c:pt>
                <c:pt idx="20">
                  <c:v>0.14956861922263504</c:v>
                </c:pt>
                <c:pt idx="21">
                  <c:v>0.14956861922263504</c:v>
                </c:pt>
                <c:pt idx="22">
                  <c:v>0.14956861922263504</c:v>
                </c:pt>
                <c:pt idx="23">
                  <c:v>0.14956861922263504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26-465D-9E2D-CF9DF16FF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899312"/>
        <c:axId val="1"/>
      </c:scatterChart>
      <c:scatterChart>
        <c:scatterStyle val="lineMarker"/>
        <c:varyColors val="0"/>
        <c:ser>
          <c:idx val="1"/>
          <c:order val="1"/>
          <c:tx>
            <c:v>Use_Parm</c:v>
          </c:tx>
          <c:marker>
            <c:symbol val="none"/>
          </c:marker>
          <c:xVal>
            <c:numRef>
              <c:f>'Age -17'!$A$9:$A$32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'Age -17'!$C$9:$C$32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0.02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-0.1</c:v>
                </c:pt>
                <c:pt idx="15">
                  <c:v>-0.2</c:v>
                </c:pt>
                <c:pt idx="16">
                  <c:v>-0.2</c:v>
                </c:pt>
                <c:pt idx="17">
                  <c:v>-0.2</c:v>
                </c:pt>
                <c:pt idx="18">
                  <c:v>-0.4</c:v>
                </c:pt>
                <c:pt idx="19">
                  <c:v>-0.4</c:v>
                </c:pt>
                <c:pt idx="20">
                  <c:v>-0.4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26-465D-9E2D-CF9DF16FF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45789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AGE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Selex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457899312"/>
        <c:crosses val="autoZero"/>
        <c:crossBetween val="midCat"/>
      </c:valAx>
      <c:val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crossBetween val="midCat"/>
      </c:valAx>
      <c:valAx>
        <c:axId val="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Use_Parm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3"/>
        <c:crosses val="max"/>
        <c:crossBetween val="midCat"/>
      </c:valAx>
    </c:plotArea>
    <c:legend>
      <c:legendPos val="r"/>
      <c:layout>
        <c:manualLayout>
          <c:xMode val="edge"/>
          <c:yMode val="edge"/>
          <c:x val="0.58248600174978127"/>
          <c:y val="7.369021580635754E-2"/>
          <c:w val="0.20133333333333336"/>
          <c:h val="0.16743438320209972"/>
        </c:manualLayout>
      </c:layout>
      <c:overlay val="1"/>
      <c:txPr>
        <a:bodyPr/>
        <a:lstStyle/>
        <a:p>
          <a:pPr>
            <a:defRPr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Selex</c:v>
          </c:tx>
          <c:marker>
            <c:symbol val="none"/>
          </c:marker>
          <c:xVal>
            <c:numRef>
              <c:f>'Age-17 improved'!$A$9:$A$32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'Age-17 improved'!$G$9:$G$32</c:f>
              <c:numCache>
                <c:formatCode>0.000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0.11169313880444363</c:v>
                </c:pt>
                <c:pt idx="3">
                  <c:v>0.1841508537381481</c:v>
                </c:pt>
                <c:pt idx="4">
                  <c:v>0.30361342957567294</c:v>
                </c:pt>
                <c:pt idx="5">
                  <c:v>0.50057391941162743</c:v>
                </c:pt>
                <c:pt idx="6">
                  <c:v>0.61140236583240826</c:v>
                </c:pt>
                <c:pt idx="7">
                  <c:v>0.74676853597335657</c:v>
                </c:pt>
                <c:pt idx="8">
                  <c:v>0.91210514954508992</c:v>
                </c:pt>
                <c:pt idx="9">
                  <c:v>1.008032085504273</c:v>
                </c:pt>
                <c:pt idx="10">
                  <c:v>1.0283956844214246</c:v>
                </c:pt>
                <c:pt idx="11">
                  <c:v>1.0283956844214246</c:v>
                </c:pt>
                <c:pt idx="12">
                  <c:v>1.0283956844214246</c:v>
                </c:pt>
                <c:pt idx="13">
                  <c:v>1.0283956844214246</c:v>
                </c:pt>
                <c:pt idx="14">
                  <c:v>0.93053089581120529</c:v>
                </c:pt>
                <c:pt idx="15">
                  <c:v>0.76185426108983723</c:v>
                </c:pt>
                <c:pt idx="16">
                  <c:v>0.62375351291775183</c:v>
                </c:pt>
                <c:pt idx="17">
                  <c:v>0.51068618336618765</c:v>
                </c:pt>
                <c:pt idx="18">
                  <c:v>0.3423231859437878</c:v>
                </c:pt>
                <c:pt idx="19">
                  <c:v>0.22946609376090657</c:v>
                </c:pt>
                <c:pt idx="20">
                  <c:v>0.15381572253342921</c:v>
                </c:pt>
                <c:pt idx="21">
                  <c:v>0.15381572253342921</c:v>
                </c:pt>
                <c:pt idx="22">
                  <c:v>0.15381572253342921</c:v>
                </c:pt>
                <c:pt idx="23">
                  <c:v>0.15381572253342921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D1-47EC-8806-B5B0CFEC7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899312"/>
        <c:axId val="1"/>
      </c:scatterChart>
      <c:scatterChart>
        <c:scatterStyle val="lineMarker"/>
        <c:varyColors val="0"/>
        <c:ser>
          <c:idx val="1"/>
          <c:order val="1"/>
          <c:tx>
            <c:v>Use_Parm</c:v>
          </c:tx>
          <c:marker>
            <c:symbol val="none"/>
          </c:marker>
          <c:xVal>
            <c:numRef>
              <c:f>'Age-17 improved'!$A$9:$A$32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'Age-17 improved'!$C$9:$C$32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0.02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-0.1</c:v>
                </c:pt>
                <c:pt idx="15">
                  <c:v>-0.2</c:v>
                </c:pt>
                <c:pt idx="16">
                  <c:v>-0.2</c:v>
                </c:pt>
                <c:pt idx="17">
                  <c:v>-0.2</c:v>
                </c:pt>
                <c:pt idx="18">
                  <c:v>-0.4</c:v>
                </c:pt>
                <c:pt idx="19">
                  <c:v>-0.4</c:v>
                </c:pt>
                <c:pt idx="20">
                  <c:v>-0.4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D1-47EC-8806-B5B0CFEC7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45789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AGE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Selex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457899312"/>
        <c:crosses val="autoZero"/>
        <c:crossBetween val="midCat"/>
      </c:valAx>
      <c:val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crossBetween val="midCat"/>
      </c:valAx>
      <c:valAx>
        <c:axId val="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Use_Parm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3"/>
        <c:crosses val="max"/>
        <c:crossBetween val="midCat"/>
      </c:valAx>
    </c:plotArea>
    <c:legend>
      <c:legendPos val="r"/>
      <c:layout>
        <c:manualLayout>
          <c:xMode val="edge"/>
          <c:yMode val="edge"/>
          <c:x val="0.58248600174978127"/>
          <c:y val="7.369021580635754E-2"/>
          <c:w val="0.20133333333333336"/>
          <c:h val="0.16743438320209972"/>
        </c:manualLayout>
      </c:layout>
      <c:overlay val="1"/>
      <c:txPr>
        <a:bodyPr/>
        <a:lstStyle/>
        <a:p>
          <a:pPr>
            <a:defRPr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12</xdr:row>
      <xdr:rowOff>85725</xdr:rowOff>
    </xdr:from>
    <xdr:to>
      <xdr:col>17</xdr:col>
      <xdr:colOff>2085975</xdr:colOff>
      <xdr:row>43</xdr:row>
      <xdr:rowOff>123825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1029" name="ScrollBar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30" name="ScrollBar2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031" name="ScrollBar3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16</xdr:col>
          <xdr:colOff>0</xdr:colOff>
          <xdr:row>10</xdr:row>
          <xdr:rowOff>0</xdr:rowOff>
        </xdr:to>
        <xdr:sp macro="" textlink="">
          <xdr:nvSpPr>
            <xdr:cNvPr id="1032" name="ScrollBar4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1033" name="ScrollBar5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1034" name="ScrollBar6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0</xdr:colOff>
      <xdr:row>14</xdr:row>
      <xdr:rowOff>0</xdr:rowOff>
    </xdr:from>
    <xdr:to>
      <xdr:col>29</xdr:col>
      <xdr:colOff>266700</xdr:colOff>
      <xdr:row>45</xdr:row>
      <xdr:rowOff>47625</xdr:rowOff>
    </xdr:to>
    <xdr:graphicFrame macro="">
      <xdr:nvGraphicFramePr>
        <xdr:cNvPr id="1043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152399</xdr:colOff>
      <xdr:row>18</xdr:row>
      <xdr:rowOff>85724</xdr:rowOff>
    </xdr:from>
    <xdr:to>
      <xdr:col>26</xdr:col>
      <xdr:colOff>590550</xdr:colOff>
      <xdr:row>73</xdr:row>
      <xdr:rowOff>123824</xdr:rowOff>
    </xdr:to>
    <xdr:sp macro="" textlink="">
      <xdr:nvSpPr>
        <xdr:cNvPr id="2" name="TextBox 1"/>
        <xdr:cNvSpPr txBox="1"/>
      </xdr:nvSpPr>
      <xdr:spPr>
        <a:xfrm>
          <a:off x="9505949" y="3000374"/>
          <a:ext cx="7143751" cy="8943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  //  SS_Label_Info_22.3.6 #case 6 non-parametric size selex pattern</a:t>
          </a:r>
        </a:p>
        <a:p>
          <a:r>
            <a:rPr lang="en-US" sz="1100"/>
            <a:t>          case 6:</a:t>
          </a:r>
        </a:p>
        <a:p>
          <a:r>
            <a:rPr lang="en-US" sz="1100"/>
            <a:t>          {</a:t>
          </a:r>
        </a:p>
        <a:p>
          <a:r>
            <a:rPr lang="en-US" sz="1100"/>
            <a:t>          lastsel=-10.0;  // log(selex) for first bin;</a:t>
          </a:r>
        </a:p>
        <a:p>
          <a:r>
            <a:rPr lang="en-US" sz="1100"/>
            <a:t>          lastSelPoint=len_bins_m(1);    //  first size</a:t>
          </a:r>
        </a:p>
        <a:p>
          <a:r>
            <a:rPr lang="en-US" sz="1100"/>
            <a:t>          finalSelPoint=value(sp(2));  // size beyond which selex is constant</a:t>
          </a:r>
        </a:p>
        <a:p>
          <a:r>
            <a:rPr lang="en-US" sz="1100"/>
            <a:t>          SelPoint=value(sp(1));   //  first size that will get a parameter.  Value will get incremented by step interval (temp1)</a:t>
          </a:r>
        </a:p>
        <a:p>
          <a:r>
            <a:rPr lang="en-US" sz="1100"/>
            <a:t>          z=3;  // parameter counter</a:t>
          </a:r>
        </a:p>
        <a:p>
          <a:r>
            <a:rPr lang="en-US" sz="1100"/>
            <a:t>          temp1 = (finalSelPoint-SelPoint)/(seltype(f,4)-1.0);  // step interval</a:t>
          </a:r>
        </a:p>
        <a:p>
          <a:r>
            <a:rPr lang="en-US" sz="1100"/>
            <a:t>          for (j=1;j&lt;=nlength;j++)</a:t>
          </a:r>
        </a:p>
        <a:p>
          <a:r>
            <a:rPr lang="en-US" sz="1100"/>
            <a:t>          {</a:t>
          </a:r>
        </a:p>
        <a:p>
          <a:r>
            <a:rPr lang="en-US" sz="1100"/>
            <a:t>            if(len_bins_m(j)&lt;SelPoint)</a:t>
          </a:r>
        </a:p>
        <a:p>
          <a:r>
            <a:rPr lang="en-US" sz="1100"/>
            <a:t>            {</a:t>
          </a:r>
        </a:p>
        <a:p>
          <a:r>
            <a:rPr lang="en-US" sz="1100"/>
            <a:t>              tempvec_l(j)=lastsel + (len_bins_m(j)-lastSelPoint)/(SelPoint-lastSelPoint) * (sp(z)-lastsel);</a:t>
          </a:r>
        </a:p>
        <a:p>
          <a:r>
            <a:rPr lang="en-US" sz="1100"/>
            <a:t>            }</a:t>
          </a:r>
        </a:p>
        <a:p>
          <a:r>
            <a:rPr lang="en-US" sz="1100"/>
            <a:t>            else if(len_bins_m(j)==SelPoint)</a:t>
          </a:r>
        </a:p>
        <a:p>
          <a:r>
            <a:rPr lang="en-US" sz="1100"/>
            <a:t>            {</a:t>
          </a:r>
        </a:p>
        <a:p>
          <a:r>
            <a:rPr lang="en-US" sz="1100"/>
            <a:t>              tempvec_l(j)=sp(z);</a:t>
          </a:r>
        </a:p>
        <a:p>
          <a:r>
            <a:rPr lang="en-US" sz="1100"/>
            <a:t>              lastsel=sp(z);</a:t>
          </a:r>
        </a:p>
        <a:p>
          <a:r>
            <a:rPr lang="en-US" sz="1100"/>
            <a:t>              lastSelPoint=SelPoint;</a:t>
          </a:r>
        </a:p>
        <a:p>
          <a:r>
            <a:rPr lang="en-US" sz="1100"/>
            <a:t>              SelPoint+=temp1;</a:t>
          </a:r>
        </a:p>
        <a:p>
          <a:r>
            <a:rPr lang="en-US" sz="1100"/>
            <a:t>              if(SelPoint&lt;=finalSelPoint)</a:t>
          </a:r>
        </a:p>
        <a:p>
          <a:r>
            <a:rPr lang="en-US" sz="1100"/>
            <a:t>                {z++;}</a:t>
          </a:r>
        </a:p>
        <a:p>
          <a:r>
            <a:rPr lang="en-US" sz="1100"/>
            <a:t>              else</a:t>
          </a:r>
        </a:p>
        <a:p>
          <a:r>
            <a:rPr lang="en-US" sz="1100"/>
            <a:t>                {SelPoint=finalSelPoint;}</a:t>
          </a:r>
        </a:p>
        <a:p>
          <a:r>
            <a:rPr lang="en-US" sz="1100"/>
            <a:t>            }</a:t>
          </a:r>
        </a:p>
        <a:p>
          <a:r>
            <a:rPr lang="en-US" sz="1100"/>
            <a:t>            else if(len_bins_m(j)&lt;=finalSelPoint)</a:t>
          </a:r>
        </a:p>
        <a:p>
          <a:r>
            <a:rPr lang="en-US" sz="1100"/>
            <a:t>            {</a:t>
          </a:r>
        </a:p>
        <a:p>
          <a:r>
            <a:rPr lang="en-US" sz="1100"/>
            <a:t>              lastsel=sp(z);</a:t>
          </a:r>
        </a:p>
        <a:p>
          <a:r>
            <a:rPr lang="en-US" sz="1100"/>
            <a:t>              lastSelPoint=SelPoint;</a:t>
          </a:r>
        </a:p>
        <a:p>
          <a:r>
            <a:rPr lang="en-US" sz="1100"/>
            <a:t>              SelPoint+=temp1;</a:t>
          </a:r>
        </a:p>
        <a:p>
          <a:r>
            <a:rPr lang="en-US" sz="1100"/>
            <a:t>              if(SelPoint&lt;=finalSelPoint)</a:t>
          </a:r>
        </a:p>
        <a:p>
          <a:r>
            <a:rPr lang="en-US" sz="1100"/>
            <a:t>                {z++;}</a:t>
          </a:r>
        </a:p>
        <a:p>
          <a:r>
            <a:rPr lang="en-US" sz="1100"/>
            <a:t>              else</a:t>
          </a:r>
        </a:p>
        <a:p>
          <a:r>
            <a:rPr lang="en-US" sz="1100"/>
            <a:t>                {SelPoint=finalSelPoint;}</a:t>
          </a:r>
        </a:p>
        <a:p>
          <a:r>
            <a:rPr lang="en-US" sz="1100"/>
            <a:t>              tempvec_l(j)=lastsel + (len_bins_m(j)-lastSelPoint)/(SelPoint-lastSelPoint) * (sp(z)-lastsel);</a:t>
          </a:r>
        </a:p>
        <a:p>
          <a:r>
            <a:rPr lang="en-US" sz="1100"/>
            <a:t>            }</a:t>
          </a:r>
        </a:p>
        <a:p>
          <a:r>
            <a:rPr lang="en-US" sz="1100"/>
            <a:t>            else</a:t>
          </a:r>
        </a:p>
        <a:p>
          <a:r>
            <a:rPr lang="en-US" sz="1100"/>
            <a:t>            {tempvec_l(j)=sp(z);}</a:t>
          </a:r>
        </a:p>
        <a:p>
          <a:endParaRPr lang="en-US" sz="1100"/>
        </a:p>
        <a:p>
          <a:r>
            <a:rPr lang="en-US" sz="1100"/>
            <a:t>          }</a:t>
          </a:r>
        </a:p>
        <a:p>
          <a:r>
            <a:rPr lang="en-US" sz="1100"/>
            <a:t>          temp=max(tempvec_l);</a:t>
          </a:r>
        </a:p>
        <a:p>
          <a:r>
            <a:rPr lang="en-US" sz="1100"/>
            <a:t>          sel = mfexp(tempvec_l-temp);</a:t>
          </a:r>
        </a:p>
        <a:p>
          <a:r>
            <a:rPr lang="en-US" sz="1100"/>
            <a:t>          break;</a:t>
          </a:r>
        </a:p>
        <a:p>
          <a:r>
            <a:rPr lang="en-US" sz="1100"/>
            <a:t>          }</a:t>
          </a:r>
        </a:p>
        <a:p>
          <a:endParaRPr lang="en-US" sz="1100"/>
        </a:p>
      </xdr:txBody>
    </xdr:sp>
    <xdr:clientData/>
  </xdr:twoCellAnchor>
  <xdr:twoCellAnchor>
    <xdr:from>
      <xdr:col>7</xdr:col>
      <xdr:colOff>257175</xdr:colOff>
      <xdr:row>18</xdr:row>
      <xdr:rowOff>128587</xdr:rowOff>
    </xdr:from>
    <xdr:to>
      <xdr:col>14</xdr:col>
      <xdr:colOff>561975</xdr:colOff>
      <xdr:row>35</xdr:row>
      <xdr:rowOff>119062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10</xdr:row>
      <xdr:rowOff>0</xdr:rowOff>
    </xdr:from>
    <xdr:to>
      <xdr:col>12</xdr:col>
      <xdr:colOff>161925</xdr:colOff>
      <xdr:row>28</xdr:row>
      <xdr:rowOff>0</xdr:rowOff>
    </xdr:to>
    <xdr:graphicFrame macro="">
      <xdr:nvGraphicFramePr>
        <xdr:cNvPr id="2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485775</xdr:colOff>
      <xdr:row>0</xdr:row>
      <xdr:rowOff>66676</xdr:rowOff>
    </xdr:from>
    <xdr:to>
      <xdr:col>12</xdr:col>
      <xdr:colOff>314325</xdr:colOff>
      <xdr:row>2</xdr:row>
      <xdr:rowOff>142876</xdr:rowOff>
    </xdr:to>
    <xdr:sp macro="" textlink="">
      <xdr:nvSpPr>
        <xdr:cNvPr id="3" name="TextBox 2"/>
        <xdr:cNvSpPr txBox="1"/>
      </xdr:nvSpPr>
      <xdr:spPr>
        <a:xfrm>
          <a:off x="6915150" y="66676"/>
          <a:ext cx="4010025" cy="400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sel = 1./(1.+mfexp(neglog19*(len_bins_m-sp(1))/sp(2)))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10</xdr:row>
      <xdr:rowOff>0</xdr:rowOff>
    </xdr:from>
    <xdr:to>
      <xdr:col>12</xdr:col>
      <xdr:colOff>152400</xdr:colOff>
      <xdr:row>27</xdr:row>
      <xdr:rowOff>152400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219075</xdr:colOff>
      <xdr:row>7</xdr:row>
      <xdr:rowOff>66675</xdr:rowOff>
    </xdr:from>
    <xdr:to>
      <xdr:col>14</xdr:col>
      <xdr:colOff>523875</xdr:colOff>
      <xdr:row>21</xdr:row>
      <xdr:rowOff>142875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180975</xdr:colOff>
      <xdr:row>0</xdr:row>
      <xdr:rowOff>171449</xdr:rowOff>
    </xdr:from>
    <xdr:to>
      <xdr:col>28</xdr:col>
      <xdr:colOff>342900</xdr:colOff>
      <xdr:row>35</xdr:row>
      <xdr:rowOff>9525</xdr:rowOff>
    </xdr:to>
    <xdr:sp macro="" textlink="">
      <xdr:nvSpPr>
        <xdr:cNvPr id="3" name="TextBox 2"/>
        <xdr:cNvSpPr txBox="1"/>
      </xdr:nvSpPr>
      <xdr:spPr>
        <a:xfrm>
          <a:off x="8991600" y="171449"/>
          <a:ext cx="8086725" cy="66960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              case 17:                  // separate parm for each age as random walk</a:t>
          </a:r>
        </a:p>
        <a:p>
          <a:r>
            <a:rPr lang="en-US" sz="1100"/>
            <a:t>            {</a:t>
          </a:r>
        </a:p>
        <a:p>
          <a:r>
            <a:rPr lang="en-US" sz="1100"/>
            <a:t>              lastsel=0.0;  //  value is the change in log(selex);  this is the reference value for age 0</a:t>
          </a:r>
        </a:p>
        <a:p>
          <a:r>
            <a:rPr lang="en-US" sz="1100"/>
            <a:t>              tempvec_a=-999.;</a:t>
          </a:r>
        </a:p>
        <a:p>
          <a:r>
            <a:rPr lang="en-US" sz="1100"/>
            <a:t>              tempvec_a(0)=0.0;   //  so do not try to estimate the first value</a:t>
          </a:r>
        </a:p>
        <a:p>
          <a:r>
            <a:rPr lang="en-US" sz="1100"/>
            <a:t>              int lastage;</a:t>
          </a:r>
        </a:p>
        <a:p>
          <a:r>
            <a:rPr lang="en-US" sz="1100"/>
            <a:t>              if(seltype(f,4)==0)</a:t>
          </a:r>
        </a:p>
        <a:p>
          <a:r>
            <a:rPr lang="en-US" sz="1100"/>
            <a:t>              {lastage=nages;}</a:t>
          </a:r>
        </a:p>
        <a:p>
          <a:r>
            <a:rPr lang="en-US" sz="1100"/>
            <a:t>              else</a:t>
          </a:r>
        </a:p>
        <a:p>
          <a:r>
            <a:rPr lang="en-US" sz="1100"/>
            <a:t>              {lastage=abs(seltype(f,4));}</a:t>
          </a:r>
        </a:p>
        <a:p>
          <a:endParaRPr lang="en-US" sz="1100"/>
        </a:p>
        <a:p>
          <a:r>
            <a:rPr lang="en-US" sz="1100"/>
            <a:t>              for(a=1;a&lt;=lastage;a++)</a:t>
          </a:r>
        </a:p>
        <a:p>
          <a:r>
            <a:rPr lang="en-US" sz="1100"/>
            <a:t>              {</a:t>
          </a:r>
        </a:p>
        <a:p>
          <a:r>
            <a:rPr lang="en-US" sz="1100"/>
            <a:t>                if(sp(a+1)&gt;-999.) {lastsel=sp(a+1);}  //  so, lastsel stays constant until changed, so could create a linear change in ln(selex)</a:t>
          </a:r>
        </a:p>
        <a:p>
          <a:r>
            <a:rPr lang="en-US" sz="1100"/>
            <a:t>                                                      // use of (a+1) is because the first element, sp(1), is for age zero</a:t>
          </a:r>
        </a:p>
        <a:p>
          <a:r>
            <a:rPr lang="en-US" sz="1100"/>
            <a:t>                tempvec_a(a)=tempvec_a(a-1)+lastsel;   // cumulative log(selex)</a:t>
          </a:r>
        </a:p>
        <a:p>
          <a:r>
            <a:rPr lang="en-US" sz="1100"/>
            <a:t>              }</a:t>
          </a:r>
        </a:p>
        <a:p>
          <a:r>
            <a:rPr lang="en-US" sz="1100"/>
            <a:t>              temp=max(tempvec_a);   //  find max so at least one age will have selex=1.</a:t>
          </a:r>
        </a:p>
        <a:p>
          <a:r>
            <a:rPr lang="en-US" sz="1100"/>
            <a:t>              sel_a(y,fs,1)=mfexp(tempvec_a-temp);</a:t>
          </a:r>
        </a:p>
        <a:p>
          <a:r>
            <a:rPr lang="en-US" sz="1100"/>
            <a:t>              a=0;</a:t>
          </a:r>
        </a:p>
        <a:p>
          <a:r>
            <a:rPr lang="en-US" sz="1100"/>
            <a:t>              while(sp(a+1)==-1000)  //  reset range of young ages to selex=0.0</a:t>
          </a:r>
        </a:p>
        <a:p>
          <a:r>
            <a:rPr lang="en-US" sz="1100"/>
            <a:t>              {</a:t>
          </a:r>
        </a:p>
        <a:p>
          <a:r>
            <a:rPr lang="en-US" sz="1100"/>
            <a:t>                sel_a(y,fs,1,a)=0.0;</a:t>
          </a:r>
        </a:p>
        <a:p>
          <a:r>
            <a:rPr lang="en-US" sz="1100"/>
            <a:t>                a++;</a:t>
          </a:r>
        </a:p>
        <a:p>
          <a:r>
            <a:rPr lang="en-US" sz="1100"/>
            <a:t>              }</a:t>
          </a:r>
        </a:p>
        <a:p>
          <a:r>
            <a:rPr lang="en-US" sz="1100"/>
            <a:t>              if(lastage&lt;nages)</a:t>
          </a:r>
        </a:p>
        <a:p>
          <a:r>
            <a:rPr lang="en-US" sz="1100"/>
            <a:t>              {</a:t>
          </a:r>
        </a:p>
        <a:p>
          <a:r>
            <a:rPr lang="en-US" sz="1100"/>
            <a:t>                for(a=lastage+1;a&lt;=nages;a++)</a:t>
          </a:r>
        </a:p>
        <a:p>
          <a:r>
            <a:rPr lang="en-US" sz="1100"/>
            <a:t>                {</a:t>
          </a:r>
        </a:p>
        <a:p>
          <a:r>
            <a:rPr lang="en-US" sz="1100"/>
            <a:t>                  if(seltype(f,4)&gt;0)</a:t>
          </a:r>
        </a:p>
        <a:p>
          <a:r>
            <a:rPr lang="en-US" sz="1100"/>
            <a:t>                  {sel_a(y,fs,1,a)=sel_a(y,fs,1,a-1);}</a:t>
          </a:r>
        </a:p>
        <a:p>
          <a:r>
            <a:rPr lang="en-US" sz="1100"/>
            <a:t>                  else</a:t>
          </a:r>
        </a:p>
        <a:p>
          <a:r>
            <a:rPr lang="en-US" sz="1100"/>
            <a:t>                  {sel_a(y,fs,1,a)=0.0;}</a:t>
          </a:r>
        </a:p>
        <a:p>
          <a:r>
            <a:rPr lang="en-US" sz="1100"/>
            <a:t>                }</a:t>
          </a:r>
        </a:p>
        <a:p>
          <a:r>
            <a:rPr lang="en-US" sz="1100"/>
            <a:t>              }</a:t>
          </a:r>
        </a:p>
        <a:p>
          <a:r>
            <a:rPr lang="en-US" sz="1100"/>
            <a:t>              break;</a:t>
          </a:r>
        </a:p>
        <a:p>
          <a:r>
            <a:rPr lang="en-US" sz="1100"/>
            <a:t>            }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219075</xdr:colOff>
      <xdr:row>7</xdr:row>
      <xdr:rowOff>66675</xdr:rowOff>
    </xdr:from>
    <xdr:to>
      <xdr:col>15</xdr:col>
      <xdr:colOff>523875</xdr:colOff>
      <xdr:row>21</xdr:row>
      <xdr:rowOff>142875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S2-selex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are"/>
      <sheetName val="TestNew"/>
      <sheetName val="DblLog"/>
      <sheetName val="Selex24"/>
      <sheetName val="Normal"/>
      <sheetName val="MarkNew"/>
      <sheetName val="Examples"/>
    </sheetNames>
    <sheetDataSet>
      <sheetData sheetId="0">
        <row r="8">
          <cell r="N8">
            <v>0.10233808760474492</v>
          </cell>
        </row>
        <row r="9">
          <cell r="N9">
            <v>0.10772692112002306</v>
          </cell>
        </row>
        <row r="10">
          <cell r="N10">
            <v>0.11422381114070847</v>
          </cell>
        </row>
        <row r="11">
          <cell r="N11">
            <v>0.12203501468221213</v>
          </cell>
        </row>
        <row r="12">
          <cell r="N12">
            <v>0.13139529477518871</v>
          </cell>
        </row>
        <row r="13">
          <cell r="N13">
            <v>0.14256733488471235</v>
          </cell>
        </row>
        <row r="14">
          <cell r="N14">
            <v>0.15583868684484734</v>
          </cell>
        </row>
        <row r="15">
          <cell r="N15">
            <v>0.17151524082613342</v>
          </cell>
        </row>
        <row r="16">
          <cell r="N16">
            <v>0.18991010889376139</v>
          </cell>
        </row>
        <row r="17">
          <cell r="N17">
            <v>0.21132689405287192</v>
          </cell>
        </row>
        <row r="18">
          <cell r="N18">
            <v>0.23603669433239047</v>
          </cell>
        </row>
        <row r="19">
          <cell r="N19">
            <v>0.26424899218624237</v>
          </cell>
        </row>
        <row r="20">
          <cell r="N20">
            <v>0.29607787744352398</v>
          </cell>
        </row>
        <row r="21">
          <cell r="N21">
            <v>0.33150678320448174</v>
          </cell>
        </row>
        <row r="22">
          <cell r="N22">
            <v>0.37035678216360468</v>
          </cell>
        </row>
        <row r="23">
          <cell r="N23">
            <v>0.41226492400322801</v>
          </cell>
        </row>
        <row r="24">
          <cell r="N24">
            <v>0.45667933539513661</v>
          </cell>
        </row>
        <row r="25">
          <cell r="N25">
            <v>0.50287618765712916</v>
          </cell>
        </row>
        <row r="26">
          <cell r="N26">
            <v>0.55000000000000004</v>
          </cell>
        </row>
        <row r="27">
          <cell r="N27">
            <v>0.59712375729170308</v>
          </cell>
        </row>
        <row r="28">
          <cell r="N28">
            <v>0.64332044753448836</v>
          </cell>
        </row>
        <row r="29">
          <cell r="N29">
            <v>0.68773459894064015</v>
          </cell>
        </row>
        <row r="30">
          <cell r="N30">
            <v>0.72964239658174856</v>
          </cell>
        </row>
        <row r="31">
          <cell r="N31">
            <v>0.7684919840448573</v>
          </cell>
        </row>
        <row r="32">
          <cell r="N32">
            <v>0.80392042933134134</v>
          </cell>
        </row>
        <row r="33">
          <cell r="N33">
            <v>0.83574882322583344</v>
          </cell>
        </row>
        <row r="34">
          <cell r="N34">
            <v>0.86396061539015767</v>
          </cell>
        </row>
        <row r="35">
          <cell r="N35">
            <v>0.88866990981694449</v>
          </cell>
        </row>
        <row r="36">
          <cell r="N36">
            <v>0.91008620028277376</v>
          </cell>
        </row>
        <row r="37">
          <cell r="N37">
            <v>0.9284805932094482</v>
          </cell>
        </row>
        <row r="38">
          <cell r="N38">
            <v>0.94415669722395368</v>
          </cell>
        </row>
        <row r="39">
          <cell r="N39">
            <v>0.95742762753573252</v>
          </cell>
        </row>
        <row r="40">
          <cell r="N40">
            <v>0.96859927530161183</v>
          </cell>
        </row>
        <row r="41">
          <cell r="N41">
            <v>0.9779591914129333</v>
          </cell>
        </row>
        <row r="42">
          <cell r="N42">
            <v>0.98577005640526527</v>
          </cell>
        </row>
        <row r="43">
          <cell r="N43">
            <v>0.992266629797245</v>
          </cell>
        </row>
        <row r="44">
          <cell r="N44">
            <v>0.99767084066980738</v>
          </cell>
        </row>
        <row r="45">
          <cell r="N45">
            <v>1.0000141511724037</v>
          </cell>
        </row>
        <row r="46">
          <cell r="N46">
            <v>1.00000000177349</v>
          </cell>
        </row>
        <row r="47">
          <cell r="N47">
            <v>1.0000000000001226</v>
          </cell>
        </row>
        <row r="48">
          <cell r="N48">
            <v>0.99999999999988898</v>
          </cell>
        </row>
        <row r="49">
          <cell r="N49">
            <v>0.99999999840206488</v>
          </cell>
        </row>
        <row r="50">
          <cell r="N50">
            <v>0.99998753936112017</v>
          </cell>
        </row>
        <row r="51">
          <cell r="N51">
            <v>0.99815790186215692</v>
          </cell>
        </row>
        <row r="52">
          <cell r="N52">
            <v>0.99401632333025658</v>
          </cell>
        </row>
        <row r="53">
          <cell r="N53">
            <v>0.98904242217106852</v>
          </cell>
        </row>
        <row r="54">
          <cell r="N54">
            <v>0.98307194591573999</v>
          </cell>
        </row>
        <row r="55">
          <cell r="N55">
            <v>0.97593126041147282</v>
          </cell>
        </row>
        <row r="56">
          <cell r="N56">
            <v>0.96742810272263735</v>
          </cell>
        </row>
        <row r="57">
          <cell r="N57">
            <v>0.95735484416912442</v>
          </cell>
        </row>
        <row r="58">
          <cell r="N58">
            <v>0.94549456923722242</v>
          </cell>
        </row>
        <row r="59">
          <cell r="N59">
            <v>0.93163073279684949</v>
          </cell>
        </row>
        <row r="60">
          <cell r="N60">
            <v>0.91556100982662658</v>
          </cell>
        </row>
        <row r="61">
          <cell r="N61">
            <v>0.89711554866183496</v>
          </cell>
        </row>
        <row r="62">
          <cell r="N62">
            <v>0.87617910660893705</v>
          </cell>
        </row>
        <row r="63">
          <cell r="N63">
            <v>0.85271547441008633</v>
          </cell>
        </row>
        <row r="64">
          <cell r="N64">
            <v>0.82679130320535366</v>
          </cell>
        </row>
        <row r="65">
          <cell r="N65">
            <v>0.79859523915381203</v>
          </cell>
        </row>
        <row r="66">
          <cell r="N66">
            <v>0.76844762674970724</v>
          </cell>
        </row>
        <row r="67">
          <cell r="N67">
            <v>0.73679648932177544</v>
          </cell>
        </row>
        <row r="68">
          <cell r="N68">
            <v>0.70419735665124272</v>
          </cell>
        </row>
        <row r="69">
          <cell r="N69">
            <v>0.67127762112573608</v>
          </cell>
        </row>
        <row r="70">
          <cell r="N70">
            <v>0.63868969138660625</v>
          </cell>
        </row>
        <row r="71">
          <cell r="N71">
            <v>0.6070600937819135</v>
          </cell>
        </row>
        <row r="72">
          <cell r="N72">
            <v>0.57694276477077633</v>
          </cell>
        </row>
        <row r="73">
          <cell r="N73">
            <v>0.5487836476493192</v>
          </cell>
        </row>
        <row r="74">
          <cell r="N74">
            <v>0.52290080313044673</v>
          </cell>
        </row>
        <row r="75">
          <cell r="N75">
            <v>0.49948065452449031</v>
          </cell>
        </row>
        <row r="76">
          <cell r="N76">
            <v>0.47858789342937913</v>
          </cell>
        </row>
        <row r="77">
          <cell r="N77">
            <v>0.4601847350756304</v>
          </cell>
        </row>
        <row r="78">
          <cell r="N78">
            <v>0.44415478757254823</v>
          </cell>
        </row>
        <row r="79">
          <cell r="N79">
            <v>0.43032745778894288</v>
          </cell>
        </row>
        <row r="80">
          <cell r="N80">
            <v>0.41850003022330295</v>
          </cell>
        </row>
        <row r="81">
          <cell r="N81">
            <v>0.40845584628446563</v>
          </cell>
        </row>
        <row r="82">
          <cell r="N82">
            <v>0.39997807846466238</v>
          </cell>
        </row>
        <row r="83">
          <cell r="N83">
            <v>0.39285932004953805</v>
          </cell>
        </row>
        <row r="84">
          <cell r="N84">
            <v>0.38690760916906874</v>
          </cell>
        </row>
        <row r="85">
          <cell r="N85">
            <v>0.38194965251758051</v>
          </cell>
        </row>
        <row r="86">
          <cell r="N86">
            <v>0.37783199889660746</v>
          </cell>
        </row>
        <row r="87">
          <cell r="N87">
            <v>0.37442081230835544</v>
          </cell>
        </row>
      </sheetData>
      <sheetData sheetId="1" refreshError="1"/>
      <sheetData sheetId="2">
        <row r="4">
          <cell r="T4">
            <v>38</v>
          </cell>
        </row>
        <row r="5">
          <cell r="A5">
            <v>1</v>
          </cell>
          <cell r="B5">
            <v>1.5</v>
          </cell>
          <cell r="T5">
            <v>0.1</v>
          </cell>
        </row>
        <row r="6">
          <cell r="A6">
            <v>2</v>
          </cell>
          <cell r="B6">
            <v>2.5</v>
          </cell>
          <cell r="T6">
            <v>0</v>
          </cell>
        </row>
        <row r="7">
          <cell r="A7">
            <v>3</v>
          </cell>
          <cell r="B7">
            <v>3.5</v>
          </cell>
          <cell r="T7">
            <v>0.2</v>
          </cell>
        </row>
        <row r="8">
          <cell r="A8">
            <v>4</v>
          </cell>
          <cell r="B8">
            <v>4.5</v>
          </cell>
          <cell r="T8">
            <v>-0.50639369443147964</v>
          </cell>
        </row>
        <row r="9">
          <cell r="A9">
            <v>5</v>
          </cell>
          <cell r="B9">
            <v>5.5</v>
          </cell>
          <cell r="T9">
            <v>0</v>
          </cell>
        </row>
        <row r="10">
          <cell r="A10">
            <v>6</v>
          </cell>
          <cell r="B10">
            <v>6.5</v>
          </cell>
          <cell r="T10">
            <v>0.2</v>
          </cell>
        </row>
        <row r="11">
          <cell r="A11">
            <v>7</v>
          </cell>
          <cell r="B11">
            <v>7.5</v>
          </cell>
          <cell r="T11">
            <v>5.9828285422706582</v>
          </cell>
        </row>
        <row r="12">
          <cell r="A12">
            <v>8</v>
          </cell>
          <cell r="B12">
            <v>8.5</v>
          </cell>
          <cell r="T12">
            <v>1</v>
          </cell>
        </row>
        <row r="13">
          <cell r="A13">
            <v>9</v>
          </cell>
          <cell r="B13">
            <v>9.5</v>
          </cell>
          <cell r="T13">
            <v>80</v>
          </cell>
        </row>
        <row r="14">
          <cell r="A14">
            <v>10</v>
          </cell>
          <cell r="B14">
            <v>10.5</v>
          </cell>
        </row>
        <row r="15">
          <cell r="A15">
            <v>11</v>
          </cell>
          <cell r="B15">
            <v>11.5</v>
          </cell>
        </row>
        <row r="16">
          <cell r="A16">
            <v>12</v>
          </cell>
          <cell r="B16">
            <v>12.5</v>
          </cell>
        </row>
        <row r="17">
          <cell r="A17">
            <v>13</v>
          </cell>
          <cell r="B17">
            <v>13.5</v>
          </cell>
        </row>
        <row r="18">
          <cell r="A18">
            <v>14</v>
          </cell>
          <cell r="B18">
            <v>14.5</v>
          </cell>
        </row>
        <row r="19">
          <cell r="A19">
            <v>15</v>
          </cell>
          <cell r="B19">
            <v>15.5</v>
          </cell>
        </row>
        <row r="20">
          <cell r="A20">
            <v>16</v>
          </cell>
          <cell r="B20">
            <v>16.5</v>
          </cell>
        </row>
        <row r="21">
          <cell r="A21">
            <v>17</v>
          </cell>
          <cell r="B21">
            <v>17.5</v>
          </cell>
        </row>
        <row r="22">
          <cell r="A22">
            <v>18</v>
          </cell>
          <cell r="B22">
            <v>18.5</v>
          </cell>
        </row>
        <row r="23">
          <cell r="A23">
            <v>19</v>
          </cell>
          <cell r="B23">
            <v>19.5</v>
          </cell>
        </row>
        <row r="24">
          <cell r="A24">
            <v>20</v>
          </cell>
          <cell r="B24">
            <v>20.5</v>
          </cell>
          <cell r="T24">
            <v>19.5</v>
          </cell>
        </row>
        <row r="25">
          <cell r="A25">
            <v>21</v>
          </cell>
          <cell r="B25">
            <v>21.5</v>
          </cell>
          <cell r="T25">
            <v>2.4124608715527431E-2</v>
          </cell>
        </row>
        <row r="26">
          <cell r="A26">
            <v>22</v>
          </cell>
          <cell r="B26">
            <v>22.5</v>
          </cell>
          <cell r="T26">
            <v>0.97588273731211672</v>
          </cell>
        </row>
        <row r="27">
          <cell r="A27">
            <v>23</v>
          </cell>
          <cell r="B27">
            <v>23.5</v>
          </cell>
          <cell r="T27">
            <v>0.999988864817413</v>
          </cell>
        </row>
        <row r="28">
          <cell r="A28">
            <v>24</v>
          </cell>
          <cell r="B28">
            <v>24.5</v>
          </cell>
          <cell r="T28">
            <v>61.991414271135326</v>
          </cell>
        </row>
        <row r="29">
          <cell r="A29">
            <v>25</v>
          </cell>
          <cell r="B29">
            <v>25.5</v>
          </cell>
          <cell r="T29">
            <v>2.6549918233549061E-2</v>
          </cell>
        </row>
        <row r="30">
          <cell r="A30">
            <v>26</v>
          </cell>
          <cell r="B30">
            <v>26.5</v>
          </cell>
          <cell r="T30">
            <v>0.97345716098336699</v>
          </cell>
        </row>
        <row r="31">
          <cell r="A31">
            <v>27</v>
          </cell>
          <cell r="B31">
            <v>27.5</v>
          </cell>
          <cell r="T31">
            <v>0.99998921427707144</v>
          </cell>
        </row>
        <row r="32">
          <cell r="A32">
            <v>28</v>
          </cell>
          <cell r="B32">
            <v>28.5</v>
          </cell>
          <cell r="T32">
            <v>0.37603930750378034</v>
          </cell>
        </row>
        <row r="33">
          <cell r="A33">
            <v>29</v>
          </cell>
          <cell r="B33">
            <v>29.5</v>
          </cell>
        </row>
        <row r="34">
          <cell r="A34">
            <v>30</v>
          </cell>
          <cell r="B34">
            <v>30.5</v>
          </cell>
          <cell r="T34">
            <v>38</v>
          </cell>
        </row>
        <row r="35">
          <cell r="A35">
            <v>31</v>
          </cell>
          <cell r="B35">
            <v>31.5</v>
          </cell>
          <cell r="T35">
            <v>43.98282854227066</v>
          </cell>
        </row>
        <row r="36">
          <cell r="A36">
            <v>32</v>
          </cell>
          <cell r="B36">
            <v>32.5</v>
          </cell>
        </row>
        <row r="37">
          <cell r="A37">
            <v>33</v>
          </cell>
          <cell r="B37">
            <v>33.5</v>
          </cell>
        </row>
        <row r="38">
          <cell r="A38">
            <v>34</v>
          </cell>
          <cell r="B38">
            <v>34.5</v>
          </cell>
        </row>
        <row r="39">
          <cell r="A39">
            <v>35</v>
          </cell>
          <cell r="B39">
            <v>35.5</v>
          </cell>
        </row>
        <row r="40">
          <cell r="A40">
            <v>36</v>
          </cell>
          <cell r="B40">
            <v>36.5</v>
          </cell>
        </row>
        <row r="41">
          <cell r="A41">
            <v>37</v>
          </cell>
          <cell r="B41">
            <v>37.5</v>
          </cell>
        </row>
        <row r="42">
          <cell r="A42">
            <v>38</v>
          </cell>
          <cell r="B42">
            <v>38.5</v>
          </cell>
        </row>
        <row r="43">
          <cell r="A43">
            <v>39</v>
          </cell>
          <cell r="B43">
            <v>39.5</v>
          </cell>
        </row>
        <row r="44">
          <cell r="A44">
            <v>40</v>
          </cell>
          <cell r="B44">
            <v>40.5</v>
          </cell>
        </row>
        <row r="45">
          <cell r="A45">
            <v>41</v>
          </cell>
          <cell r="B45">
            <v>41.5</v>
          </cell>
        </row>
        <row r="46">
          <cell r="A46">
            <v>42</v>
          </cell>
          <cell r="B46">
            <v>42.5</v>
          </cell>
        </row>
        <row r="47">
          <cell r="A47">
            <v>43</v>
          </cell>
          <cell r="B47">
            <v>43.5</v>
          </cell>
        </row>
        <row r="48">
          <cell r="A48">
            <v>44</v>
          </cell>
          <cell r="B48">
            <v>44.5</v>
          </cell>
        </row>
        <row r="49">
          <cell r="A49">
            <v>45</v>
          </cell>
          <cell r="B49">
            <v>45.5</v>
          </cell>
        </row>
        <row r="50">
          <cell r="A50">
            <v>46</v>
          </cell>
          <cell r="B50">
            <v>46.5</v>
          </cell>
        </row>
        <row r="51">
          <cell r="A51">
            <v>47</v>
          </cell>
          <cell r="B51">
            <v>47.5</v>
          </cell>
        </row>
        <row r="52">
          <cell r="A52">
            <v>48</v>
          </cell>
          <cell r="B52">
            <v>48.5</v>
          </cell>
        </row>
        <row r="53">
          <cell r="A53">
            <v>49</v>
          </cell>
          <cell r="B53">
            <v>49.5</v>
          </cell>
        </row>
        <row r="54">
          <cell r="A54">
            <v>50</v>
          </cell>
          <cell r="B54">
            <v>50.5</v>
          </cell>
        </row>
        <row r="55">
          <cell r="A55">
            <v>51</v>
          </cell>
          <cell r="B55">
            <v>51.5</v>
          </cell>
        </row>
        <row r="56">
          <cell r="A56">
            <v>52</v>
          </cell>
          <cell r="B56">
            <v>52.5</v>
          </cell>
        </row>
        <row r="57">
          <cell r="A57">
            <v>53</v>
          </cell>
          <cell r="B57">
            <v>53.5</v>
          </cell>
        </row>
        <row r="58">
          <cell r="A58">
            <v>54</v>
          </cell>
          <cell r="B58">
            <v>54.5</v>
          </cell>
        </row>
        <row r="59">
          <cell r="A59">
            <v>55</v>
          </cell>
          <cell r="B59">
            <v>55.5</v>
          </cell>
        </row>
        <row r="60">
          <cell r="A60">
            <v>56</v>
          </cell>
          <cell r="B60">
            <v>56.5</v>
          </cell>
        </row>
        <row r="61">
          <cell r="A61">
            <v>57</v>
          </cell>
          <cell r="B61">
            <v>57.5</v>
          </cell>
        </row>
        <row r="62">
          <cell r="A62">
            <v>58</v>
          </cell>
          <cell r="B62">
            <v>58.5</v>
          </cell>
        </row>
        <row r="63">
          <cell r="A63">
            <v>59</v>
          </cell>
          <cell r="B63">
            <v>59.5</v>
          </cell>
        </row>
        <row r="64">
          <cell r="A64">
            <v>60</v>
          </cell>
          <cell r="B64">
            <v>60.5</v>
          </cell>
        </row>
        <row r="65">
          <cell r="A65">
            <v>61</v>
          </cell>
          <cell r="B65">
            <v>61.5</v>
          </cell>
        </row>
        <row r="66">
          <cell r="A66">
            <v>62</v>
          </cell>
          <cell r="B66">
            <v>62.5</v>
          </cell>
        </row>
        <row r="67">
          <cell r="A67">
            <v>63</v>
          </cell>
          <cell r="B67">
            <v>63.5</v>
          </cell>
        </row>
        <row r="68">
          <cell r="A68">
            <v>64</v>
          </cell>
          <cell r="B68">
            <v>64.5</v>
          </cell>
        </row>
        <row r="69">
          <cell r="A69">
            <v>65</v>
          </cell>
          <cell r="B69">
            <v>65.5</v>
          </cell>
        </row>
        <row r="70">
          <cell r="A70">
            <v>66</v>
          </cell>
          <cell r="B70">
            <v>66.5</v>
          </cell>
        </row>
        <row r="71">
          <cell r="A71">
            <v>67</v>
          </cell>
          <cell r="B71">
            <v>67.5</v>
          </cell>
        </row>
        <row r="72">
          <cell r="A72">
            <v>68</v>
          </cell>
          <cell r="B72">
            <v>68.5</v>
          </cell>
        </row>
        <row r="73">
          <cell r="A73">
            <v>69</v>
          </cell>
          <cell r="B73">
            <v>69.5</v>
          </cell>
        </row>
        <row r="74">
          <cell r="A74">
            <v>70</v>
          </cell>
          <cell r="B74">
            <v>70.5</v>
          </cell>
        </row>
        <row r="75">
          <cell r="A75">
            <v>71</v>
          </cell>
          <cell r="B75">
            <v>71.5</v>
          </cell>
        </row>
        <row r="76">
          <cell r="A76">
            <v>72</v>
          </cell>
          <cell r="B76">
            <v>72.5</v>
          </cell>
        </row>
        <row r="77">
          <cell r="A77">
            <v>73</v>
          </cell>
          <cell r="B77">
            <v>73.5</v>
          </cell>
        </row>
        <row r="78">
          <cell r="A78">
            <v>74</v>
          </cell>
          <cell r="B78">
            <v>74.5</v>
          </cell>
        </row>
        <row r="79">
          <cell r="A79">
            <v>75</v>
          </cell>
          <cell r="B79">
            <v>75.5</v>
          </cell>
        </row>
        <row r="80">
          <cell r="A80">
            <v>76</v>
          </cell>
          <cell r="B80">
            <v>76.5</v>
          </cell>
        </row>
        <row r="81">
          <cell r="A81">
            <v>77</v>
          </cell>
          <cell r="B81">
            <v>77.5</v>
          </cell>
        </row>
        <row r="82">
          <cell r="A82">
            <v>78</v>
          </cell>
          <cell r="B82">
            <v>78.5</v>
          </cell>
        </row>
        <row r="83">
          <cell r="A83">
            <v>79</v>
          </cell>
          <cell r="B83">
            <v>79.5</v>
          </cell>
        </row>
        <row r="84">
          <cell r="A84">
            <v>80</v>
          </cell>
          <cell r="B84">
            <v>80.5</v>
          </cell>
        </row>
        <row r="85">
          <cell r="A85">
            <v>81</v>
          </cell>
          <cell r="B85">
            <v>81.5</v>
          </cell>
        </row>
        <row r="86">
          <cell r="A86">
            <v>82</v>
          </cell>
          <cell r="B86">
            <v>82.5</v>
          </cell>
        </row>
        <row r="87">
          <cell r="A87">
            <v>83</v>
          </cell>
          <cell r="B87">
            <v>83.5</v>
          </cell>
        </row>
        <row r="88">
          <cell r="A88">
            <v>84</v>
          </cell>
          <cell r="B88">
            <v>84.5</v>
          </cell>
        </row>
        <row r="89">
          <cell r="A89">
            <v>85</v>
          </cell>
          <cell r="B89">
            <v>85.5</v>
          </cell>
        </row>
        <row r="90">
          <cell r="A90">
            <v>86</v>
          </cell>
          <cell r="B90">
            <v>86.5</v>
          </cell>
        </row>
        <row r="91">
          <cell r="A91">
            <v>87</v>
          </cell>
          <cell r="B91">
            <v>87.5</v>
          </cell>
        </row>
        <row r="92">
          <cell r="A92">
            <v>88</v>
          </cell>
          <cell r="B92">
            <v>88.5</v>
          </cell>
        </row>
        <row r="93">
          <cell r="A93">
            <v>89</v>
          </cell>
          <cell r="B93">
            <v>89.5</v>
          </cell>
        </row>
        <row r="94">
          <cell r="A94">
            <v>90</v>
          </cell>
          <cell r="B94">
            <v>90.5</v>
          </cell>
        </row>
        <row r="95">
          <cell r="A95">
            <v>91</v>
          </cell>
          <cell r="B95">
            <v>91.5</v>
          </cell>
        </row>
        <row r="96">
          <cell r="A96">
            <v>92</v>
          </cell>
          <cell r="B96">
            <v>92.5</v>
          </cell>
        </row>
        <row r="97">
          <cell r="A97">
            <v>93</v>
          </cell>
          <cell r="B97">
            <v>93.5</v>
          </cell>
        </row>
        <row r="98">
          <cell r="A98">
            <v>94</v>
          </cell>
          <cell r="B98">
            <v>94.5</v>
          </cell>
        </row>
        <row r="99">
          <cell r="A99">
            <v>95</v>
          </cell>
          <cell r="B99">
            <v>95.5</v>
          </cell>
        </row>
        <row r="100">
          <cell r="A100">
            <v>96</v>
          </cell>
          <cell r="B100">
            <v>96.5</v>
          </cell>
        </row>
        <row r="101">
          <cell r="A101">
            <v>97</v>
          </cell>
          <cell r="B101">
            <v>97.5</v>
          </cell>
        </row>
        <row r="102">
          <cell r="A102">
            <v>98</v>
          </cell>
          <cell r="B102">
            <v>98.5</v>
          </cell>
        </row>
        <row r="103">
          <cell r="A103">
            <v>99</v>
          </cell>
          <cell r="B103">
            <v>99.5</v>
          </cell>
        </row>
        <row r="104">
          <cell r="A104">
            <v>100</v>
          </cell>
          <cell r="B104">
            <v>100.5</v>
          </cell>
        </row>
        <row r="105">
          <cell r="A105">
            <v>101</v>
          </cell>
          <cell r="B105">
            <v>101.5</v>
          </cell>
        </row>
        <row r="106">
          <cell r="A106">
            <v>102</v>
          </cell>
          <cell r="B106">
            <v>102.5</v>
          </cell>
        </row>
        <row r="107">
          <cell r="A107">
            <v>103</v>
          </cell>
          <cell r="B107">
            <v>103.5</v>
          </cell>
        </row>
        <row r="108">
          <cell r="A108">
            <v>104</v>
          </cell>
          <cell r="B108">
            <v>104.5</v>
          </cell>
        </row>
        <row r="109">
          <cell r="A109">
            <v>105</v>
          </cell>
          <cell r="B109">
            <v>105.5</v>
          </cell>
        </row>
        <row r="110">
          <cell r="B110">
            <v>106.5</v>
          </cell>
        </row>
        <row r="111">
          <cell r="B111">
            <v>107.5</v>
          </cell>
        </row>
        <row r="112">
          <cell r="B112">
            <v>108.5</v>
          </cell>
        </row>
        <row r="113">
          <cell r="B113">
            <v>109.5</v>
          </cell>
        </row>
        <row r="114">
          <cell r="B114">
            <v>110.5</v>
          </cell>
        </row>
        <row r="115">
          <cell r="B115">
            <v>111.5</v>
          </cell>
        </row>
        <row r="116">
          <cell r="B116">
            <v>112.5</v>
          </cell>
        </row>
        <row r="117">
          <cell r="B117">
            <v>113.5</v>
          </cell>
        </row>
        <row r="118">
          <cell r="B118">
            <v>114.5</v>
          </cell>
        </row>
        <row r="119">
          <cell r="B119">
            <v>115.5</v>
          </cell>
        </row>
        <row r="120">
          <cell r="B120">
            <v>116.5</v>
          </cell>
        </row>
        <row r="121">
          <cell r="B121">
            <v>117.5</v>
          </cell>
        </row>
        <row r="122">
          <cell r="B122">
            <v>118.5</v>
          </cell>
        </row>
        <row r="123">
          <cell r="B123">
            <v>119.5</v>
          </cell>
        </row>
        <row r="124">
          <cell r="B124">
            <v>120.5</v>
          </cell>
        </row>
        <row r="125">
          <cell r="B125">
            <v>121.5</v>
          </cell>
        </row>
        <row r="126">
          <cell r="B126">
            <v>122.5</v>
          </cell>
        </row>
        <row r="127">
          <cell r="B127">
            <v>123.5</v>
          </cell>
        </row>
        <row r="128">
          <cell r="B128">
            <v>124.5</v>
          </cell>
        </row>
        <row r="129">
          <cell r="B129">
            <v>125.5</v>
          </cell>
        </row>
      </sheetData>
      <sheetData sheetId="3" refreshError="1"/>
      <sheetData sheetId="4">
        <row r="2">
          <cell r="E2">
            <v>34.75785775228141</v>
          </cell>
        </row>
        <row r="3">
          <cell r="E3">
            <v>46.887436497821923</v>
          </cell>
        </row>
        <row r="4">
          <cell r="E4">
            <v>352.85049824915069</v>
          </cell>
        </row>
        <row r="5">
          <cell r="E5">
            <v>344.46667654044091</v>
          </cell>
        </row>
        <row r="6">
          <cell r="E6">
            <v>4.4543127513858111E-2</v>
          </cell>
        </row>
      </sheetData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152"/>
  <sheetViews>
    <sheetView workbookViewId="0">
      <selection activeCell="P2" sqref="P2"/>
    </sheetView>
  </sheetViews>
  <sheetFormatPr defaultRowHeight="12.75" x14ac:dyDescent="0.2"/>
  <cols>
    <col min="1" max="1" width="6.28515625" customWidth="1"/>
    <col min="2" max="2" width="7.28515625" customWidth="1"/>
    <col min="3" max="3" width="8.42578125" customWidth="1"/>
    <col min="4" max="4" width="6.28515625" customWidth="1"/>
    <col min="5" max="5" width="6.85546875" customWidth="1"/>
    <col min="6" max="6" width="7.85546875" customWidth="1"/>
    <col min="7" max="7" width="9" customWidth="1"/>
    <col min="8" max="8" width="10.42578125" customWidth="1"/>
    <col min="9" max="9" width="10.5703125" customWidth="1"/>
    <col min="11" max="11" width="9.42578125" bestFit="1" customWidth="1"/>
    <col min="16" max="16" width="12" customWidth="1"/>
    <col min="17" max="17" width="15.85546875" customWidth="1"/>
    <col min="18" max="18" width="59" customWidth="1"/>
  </cols>
  <sheetData>
    <row r="1" spans="1:35" x14ac:dyDescent="0.2">
      <c r="A1" s="30" t="s">
        <v>41</v>
      </c>
      <c r="B1" s="3"/>
      <c r="C1" s="3"/>
      <c r="D1" s="3"/>
      <c r="E1" s="3"/>
      <c r="I1" s="1"/>
    </row>
    <row r="2" spans="1:35" x14ac:dyDescent="0.2">
      <c r="A2" s="46"/>
      <c r="B2" s="47"/>
      <c r="C2" s="47"/>
      <c r="D2" s="47"/>
      <c r="E2" s="47"/>
      <c r="I2" s="1"/>
    </row>
    <row r="3" spans="1:35" x14ac:dyDescent="0.2">
      <c r="A3" s="30">
        <v>20</v>
      </c>
      <c r="B3" s="47"/>
      <c r="C3" s="47"/>
      <c r="D3" s="47"/>
      <c r="E3" s="47"/>
      <c r="I3" s="1"/>
    </row>
    <row r="4" spans="1:35" x14ac:dyDescent="0.2">
      <c r="A4" s="46"/>
      <c r="B4" s="47"/>
      <c r="C4" s="47"/>
      <c r="D4" s="47"/>
      <c r="E4" s="47"/>
      <c r="I4" s="1"/>
    </row>
    <row r="5" spans="1:35" x14ac:dyDescent="0.2">
      <c r="A5" s="2"/>
      <c r="C5" s="2"/>
      <c r="F5" s="53" t="s">
        <v>1</v>
      </c>
      <c r="G5" s="53"/>
      <c r="I5" s="30">
        <v>0</v>
      </c>
    </row>
    <row r="6" spans="1:35" ht="13.5" thickBot="1" x14ac:dyDescent="0.25">
      <c r="B6" s="4" t="s">
        <v>2</v>
      </c>
      <c r="C6" s="4" t="s">
        <v>3</v>
      </c>
      <c r="D6" s="5" t="s">
        <v>4</v>
      </c>
      <c r="E6" s="5" t="s">
        <v>5</v>
      </c>
      <c r="F6" s="5" t="s">
        <v>6</v>
      </c>
      <c r="G6" s="5" t="s">
        <v>7</v>
      </c>
      <c r="I6" s="5" t="s">
        <v>46</v>
      </c>
      <c r="K6" s="52" t="s">
        <v>0</v>
      </c>
      <c r="L6" s="52"/>
      <c r="M6" s="52"/>
      <c r="N6" s="52"/>
      <c r="O6" s="52"/>
      <c r="P6" s="52"/>
      <c r="Q6" s="44" t="s">
        <v>43</v>
      </c>
      <c r="R6" s="6"/>
      <c r="S6" t="s">
        <v>8</v>
      </c>
      <c r="T6" t="s">
        <v>9</v>
      </c>
      <c r="U6" t="s">
        <v>10</v>
      </c>
      <c r="V6" t="s">
        <v>11</v>
      </c>
      <c r="W6" t="s">
        <v>12</v>
      </c>
      <c r="X6" t="s">
        <v>13</v>
      </c>
      <c r="Y6" t="s">
        <v>14</v>
      </c>
      <c r="Z6" t="s">
        <v>15</v>
      </c>
      <c r="AA6" t="s">
        <v>16</v>
      </c>
      <c r="AB6" t="s">
        <v>17</v>
      </c>
      <c r="AC6" t="s">
        <v>18</v>
      </c>
      <c r="AD6" t="s">
        <v>19</v>
      </c>
      <c r="AE6" t="s">
        <v>20</v>
      </c>
      <c r="AF6" t="s">
        <v>21</v>
      </c>
    </row>
    <row r="7" spans="1:35" ht="25.5" customHeight="1" x14ac:dyDescent="0.2">
      <c r="B7" s="45" t="s">
        <v>22</v>
      </c>
      <c r="C7" s="51">
        <f t="shared" ref="C7:C12" si="0">$I$5*I7 + (1-$I$5)*(F7+Q7/1000*(G7-F7))</f>
        <v>11.6226</v>
      </c>
      <c r="D7" s="8" t="s">
        <v>23</v>
      </c>
      <c r="E7" s="48">
        <f>C7</f>
        <v>11.6226</v>
      </c>
      <c r="F7" s="9">
        <f>B20*1.01</f>
        <v>0</v>
      </c>
      <c r="G7" s="9">
        <f>B23*0.99</f>
        <v>19.8</v>
      </c>
      <c r="H7" s="30"/>
      <c r="I7" s="30">
        <v>13.33</v>
      </c>
      <c r="J7" s="43"/>
      <c r="Q7" s="10">
        <v>587</v>
      </c>
      <c r="R7" s="11"/>
      <c r="S7" s="12">
        <f t="shared" ref="S7:T12" si="1">F7</f>
        <v>0</v>
      </c>
      <c r="T7" s="12">
        <f t="shared" si="1"/>
        <v>19.8</v>
      </c>
      <c r="U7" s="12">
        <f t="shared" ref="U7:U12" si="2">C7</f>
        <v>11.6226</v>
      </c>
      <c r="V7" s="12">
        <f t="shared" ref="V7:V12" si="3">U7</f>
        <v>11.6226</v>
      </c>
      <c r="W7">
        <v>1</v>
      </c>
      <c r="X7">
        <v>0.05</v>
      </c>
      <c r="Y7">
        <v>2</v>
      </c>
      <c r="Z7">
        <v>0</v>
      </c>
      <c r="AA7">
        <v>0</v>
      </c>
      <c r="AB7">
        <v>0</v>
      </c>
      <c r="AC7">
        <v>0</v>
      </c>
      <c r="AD7">
        <v>0.5</v>
      </c>
      <c r="AE7">
        <v>0</v>
      </c>
      <c r="AF7">
        <v>0</v>
      </c>
      <c r="AG7" t="s">
        <v>24</v>
      </c>
      <c r="AH7" s="7" t="s">
        <v>22</v>
      </c>
      <c r="AI7" s="8" t="s">
        <v>23</v>
      </c>
    </row>
    <row r="8" spans="1:35" ht="25.5" customHeight="1" x14ac:dyDescent="0.2">
      <c r="B8" s="45" t="s">
        <v>25</v>
      </c>
      <c r="C8" s="51">
        <f t="shared" si="0"/>
        <v>0.69599999999999973</v>
      </c>
      <c r="D8" s="8" t="s">
        <v>26</v>
      </c>
      <c r="E8" s="49">
        <f>E$7+C16+(0.99*$B$23-E$7-C16)/(1+EXP(-C8))</f>
        <v>17.412081351413967</v>
      </c>
      <c r="F8" s="30">
        <v>-5</v>
      </c>
      <c r="G8" s="30">
        <v>3</v>
      </c>
      <c r="H8" s="30"/>
      <c r="I8" s="30">
        <v>0.704847</v>
      </c>
      <c r="J8" s="43"/>
      <c r="Q8" s="10">
        <v>712</v>
      </c>
      <c r="R8" s="11"/>
      <c r="S8" s="12">
        <f t="shared" si="1"/>
        <v>-5</v>
      </c>
      <c r="T8" s="12">
        <f t="shared" si="1"/>
        <v>3</v>
      </c>
      <c r="U8" s="12">
        <f t="shared" si="2"/>
        <v>0.69599999999999973</v>
      </c>
      <c r="V8" s="12">
        <f t="shared" si="3"/>
        <v>0.69599999999999973</v>
      </c>
      <c r="W8">
        <v>1</v>
      </c>
      <c r="X8">
        <v>0.05</v>
      </c>
      <c r="Y8">
        <v>3</v>
      </c>
      <c r="Z8">
        <v>0</v>
      </c>
      <c r="AA8">
        <v>0</v>
      </c>
      <c r="AB8">
        <v>0</v>
      </c>
      <c r="AC8">
        <v>0</v>
      </c>
      <c r="AD8">
        <v>0.5</v>
      </c>
      <c r="AE8">
        <v>0</v>
      </c>
      <c r="AF8">
        <v>0</v>
      </c>
      <c r="AG8" t="s">
        <v>24</v>
      </c>
      <c r="AH8" s="7" t="s">
        <v>25</v>
      </c>
      <c r="AI8" s="8" t="s">
        <v>26</v>
      </c>
    </row>
    <row r="9" spans="1:35" ht="25.5" customHeight="1" x14ac:dyDescent="0.2">
      <c r="B9" s="45" t="s">
        <v>44</v>
      </c>
      <c r="C9" s="51">
        <f t="shared" si="0"/>
        <v>3.4400000000000004</v>
      </c>
      <c r="D9" s="8" t="s">
        <v>28</v>
      </c>
      <c r="E9" s="50">
        <f>EXP(C9)</f>
        <v>31.186958168309474</v>
      </c>
      <c r="F9" s="30">
        <v>-4</v>
      </c>
      <c r="G9" s="30">
        <v>12</v>
      </c>
      <c r="H9" s="30"/>
      <c r="I9" s="30">
        <v>3.42</v>
      </c>
      <c r="J9" s="43"/>
      <c r="Q9" s="10">
        <v>465</v>
      </c>
      <c r="R9" s="11"/>
      <c r="S9" s="12">
        <f t="shared" si="1"/>
        <v>-4</v>
      </c>
      <c r="T9" s="12">
        <f t="shared" si="1"/>
        <v>12</v>
      </c>
      <c r="U9" s="12">
        <f t="shared" si="2"/>
        <v>3.4400000000000004</v>
      </c>
      <c r="V9" s="12">
        <f t="shared" si="3"/>
        <v>3.4400000000000004</v>
      </c>
      <c r="W9">
        <v>1</v>
      </c>
      <c r="X9">
        <v>0.05</v>
      </c>
      <c r="Y9">
        <v>3</v>
      </c>
      <c r="Z9">
        <v>0</v>
      </c>
      <c r="AA9">
        <v>0</v>
      </c>
      <c r="AB9">
        <v>0</v>
      </c>
      <c r="AC9">
        <v>0</v>
      </c>
      <c r="AD9">
        <v>0.5</v>
      </c>
      <c r="AE9">
        <v>0</v>
      </c>
      <c r="AF9">
        <v>0</v>
      </c>
      <c r="AG9" t="s">
        <v>24</v>
      </c>
      <c r="AH9" s="7" t="s">
        <v>27</v>
      </c>
      <c r="AI9" s="8" t="s">
        <v>28</v>
      </c>
    </row>
    <row r="10" spans="1:35" ht="25.5" customHeight="1" x14ac:dyDescent="0.2">
      <c r="B10" s="45" t="s">
        <v>45</v>
      </c>
      <c r="C10" s="51">
        <f t="shared" si="0"/>
        <v>0.20800000000000018</v>
      </c>
      <c r="D10" s="8" t="s">
        <v>28</v>
      </c>
      <c r="E10" s="50">
        <f>EXP(C10)</f>
        <v>1.2312131695488679</v>
      </c>
      <c r="F10" s="30">
        <v>-2</v>
      </c>
      <c r="G10" s="30">
        <v>6</v>
      </c>
      <c r="H10" s="30"/>
      <c r="I10" s="30">
        <v>0.210282</v>
      </c>
      <c r="J10" s="43"/>
      <c r="Q10" s="10">
        <v>276</v>
      </c>
      <c r="R10" s="11"/>
      <c r="S10" s="12">
        <f t="shared" si="1"/>
        <v>-2</v>
      </c>
      <c r="T10" s="12">
        <f t="shared" si="1"/>
        <v>6</v>
      </c>
      <c r="U10" s="12">
        <f t="shared" si="2"/>
        <v>0.20800000000000018</v>
      </c>
      <c r="V10" s="12">
        <f t="shared" si="3"/>
        <v>0.20800000000000018</v>
      </c>
      <c r="W10">
        <v>1</v>
      </c>
      <c r="X10">
        <v>0.05</v>
      </c>
      <c r="Y10">
        <v>3</v>
      </c>
      <c r="Z10">
        <v>0</v>
      </c>
      <c r="AA10">
        <v>0</v>
      </c>
      <c r="AB10">
        <v>0</v>
      </c>
      <c r="AC10">
        <v>0</v>
      </c>
      <c r="AD10">
        <v>0.5</v>
      </c>
      <c r="AE10">
        <v>0</v>
      </c>
      <c r="AF10">
        <v>0</v>
      </c>
      <c r="AG10" t="s">
        <v>24</v>
      </c>
      <c r="AH10" s="7" t="s">
        <v>27</v>
      </c>
      <c r="AI10" s="8" t="s">
        <v>28</v>
      </c>
    </row>
    <row r="11" spans="1:35" ht="25.5" customHeight="1" x14ac:dyDescent="0.2">
      <c r="B11" s="45" t="s">
        <v>10</v>
      </c>
      <c r="C11" s="51">
        <f t="shared" si="0"/>
        <v>-8.9</v>
      </c>
      <c r="D11" s="8" t="s">
        <v>26</v>
      </c>
      <c r="E11" s="49">
        <f>1/(1+EXP(-C11))</f>
        <v>1.3637032707949703E-4</v>
      </c>
      <c r="F11" s="30">
        <v>-15</v>
      </c>
      <c r="G11" s="30">
        <v>5</v>
      </c>
      <c r="H11" s="30"/>
      <c r="I11" s="30">
        <v>-8.9</v>
      </c>
      <c r="J11" s="43"/>
      <c r="Q11" s="10">
        <v>305</v>
      </c>
      <c r="R11" s="11"/>
      <c r="S11" s="12">
        <f t="shared" si="1"/>
        <v>-15</v>
      </c>
      <c r="T11" s="12">
        <f t="shared" si="1"/>
        <v>5</v>
      </c>
      <c r="U11" s="12">
        <f t="shared" si="2"/>
        <v>-8.9</v>
      </c>
      <c r="V11" s="12">
        <f t="shared" si="3"/>
        <v>-8.9</v>
      </c>
      <c r="W11">
        <v>1</v>
      </c>
      <c r="X11">
        <v>0.05</v>
      </c>
      <c r="Y11">
        <v>2</v>
      </c>
      <c r="Z11">
        <v>0</v>
      </c>
      <c r="AA11">
        <v>0</v>
      </c>
      <c r="AB11">
        <v>0</v>
      </c>
      <c r="AC11">
        <v>0</v>
      </c>
      <c r="AD11">
        <v>0.5</v>
      </c>
      <c r="AE11">
        <v>0</v>
      </c>
      <c r="AF11">
        <v>0</v>
      </c>
      <c r="AG11" t="s">
        <v>24</v>
      </c>
      <c r="AH11" s="7" t="s">
        <v>10</v>
      </c>
      <c r="AI11" s="8" t="s">
        <v>26</v>
      </c>
    </row>
    <row r="12" spans="1:35" ht="25.5" customHeight="1" x14ac:dyDescent="0.2">
      <c r="B12" s="45" t="s">
        <v>29</v>
      </c>
      <c r="C12" s="51">
        <f t="shared" si="0"/>
        <v>0.15000000000000036</v>
      </c>
      <c r="D12" s="8" t="s">
        <v>26</v>
      </c>
      <c r="E12" s="49">
        <f>1/(1+EXP(-C12))</f>
        <v>0.53742984534374971</v>
      </c>
      <c r="F12" s="30">
        <v>-5</v>
      </c>
      <c r="G12" s="30">
        <v>5</v>
      </c>
      <c r="H12" s="30"/>
      <c r="I12" s="30">
        <v>0.14949999999999999</v>
      </c>
      <c r="J12" s="43"/>
      <c r="Q12" s="10">
        <v>515</v>
      </c>
      <c r="R12" s="11"/>
      <c r="S12" s="12">
        <f t="shared" si="1"/>
        <v>-5</v>
      </c>
      <c r="T12" s="12">
        <f t="shared" si="1"/>
        <v>5</v>
      </c>
      <c r="U12" s="12">
        <f t="shared" si="2"/>
        <v>0.15000000000000036</v>
      </c>
      <c r="V12" s="12">
        <f t="shared" si="3"/>
        <v>0.15000000000000036</v>
      </c>
      <c r="W12">
        <v>1</v>
      </c>
      <c r="X12">
        <v>0.05</v>
      </c>
      <c r="Y12">
        <v>2</v>
      </c>
      <c r="Z12">
        <v>0</v>
      </c>
      <c r="AA12">
        <v>0</v>
      </c>
      <c r="AB12">
        <v>0</v>
      </c>
      <c r="AC12">
        <v>0</v>
      </c>
      <c r="AD12">
        <v>0.5</v>
      </c>
      <c r="AE12">
        <v>0</v>
      </c>
      <c r="AF12">
        <v>0</v>
      </c>
      <c r="AG12" t="s">
        <v>24</v>
      </c>
      <c r="AH12" s="7" t="s">
        <v>29</v>
      </c>
      <c r="AI12" s="8" t="s">
        <v>26</v>
      </c>
    </row>
    <row r="14" spans="1:35" x14ac:dyDescent="0.2">
      <c r="A14" s="7" t="s">
        <v>50</v>
      </c>
      <c r="B14" s="45" t="s">
        <v>6</v>
      </c>
      <c r="C14" s="13">
        <v>0</v>
      </c>
      <c r="D14" s="8"/>
      <c r="E14" s="14"/>
    </row>
    <row r="15" spans="1:35" x14ac:dyDescent="0.2">
      <c r="A15" s="7"/>
      <c r="B15" s="45" t="s">
        <v>7</v>
      </c>
      <c r="C15" s="13">
        <v>20</v>
      </c>
      <c r="D15" s="8"/>
      <c r="E15" s="14"/>
      <c r="H15" s="34">
        <f>IF(C11&lt;-1000,-1000-C11,-1)</f>
        <v>-1</v>
      </c>
    </row>
    <row r="16" spans="1:35" x14ac:dyDescent="0.2">
      <c r="A16" s="15"/>
      <c r="B16" s="17" t="s">
        <v>47</v>
      </c>
      <c r="C16" s="13">
        <v>1</v>
      </c>
      <c r="E16" s="16"/>
    </row>
    <row r="17" spans="1:32" x14ac:dyDescent="0.2">
      <c r="A17" s="15"/>
      <c r="B17" s="17" t="s">
        <v>42</v>
      </c>
      <c r="C17" s="32">
        <f>IF(A3=20,0,IF(A3=24,0.5,"WRONG"))</f>
        <v>0</v>
      </c>
      <c r="E17" s="16"/>
      <c r="AF17" s="29"/>
    </row>
    <row r="18" spans="1:32" x14ac:dyDescent="0.2">
      <c r="A18" s="15"/>
      <c r="B18" s="17"/>
      <c r="C18" s="7"/>
      <c r="E18" s="16"/>
    </row>
    <row r="19" spans="1:32" ht="13.5" thickBot="1" x14ac:dyDescent="0.25">
      <c r="A19" s="22" t="s">
        <v>31</v>
      </c>
      <c r="B19" s="31"/>
      <c r="C19" s="32"/>
      <c r="D19" s="32"/>
      <c r="E19" s="33"/>
      <c r="F19" s="34"/>
      <c r="G19" s="34"/>
    </row>
    <row r="20" spans="1:32" x14ac:dyDescent="0.2">
      <c r="A20" s="35" t="s">
        <v>6</v>
      </c>
      <c r="B20" s="36">
        <f>C14+$C$16*$C$17</f>
        <v>0</v>
      </c>
      <c r="C20" s="18"/>
      <c r="D20" s="37">
        <f>EXP(-(($B20-$E$7)^2/$E$9))</f>
        <v>1.3148434315767309E-2</v>
      </c>
      <c r="E20" s="18"/>
      <c r="F20" s="18"/>
      <c r="G20" s="19"/>
    </row>
    <row r="21" spans="1:32" x14ac:dyDescent="0.2">
      <c r="A21" s="38" t="s">
        <v>48</v>
      </c>
      <c r="B21" s="39">
        <f>E7</f>
        <v>11.6226</v>
      </c>
      <c r="C21" s="22"/>
      <c r="D21" s="40">
        <v>1</v>
      </c>
      <c r="E21" s="22"/>
      <c r="F21" s="22"/>
      <c r="G21" s="23"/>
    </row>
    <row r="22" spans="1:32" x14ac:dyDescent="0.2">
      <c r="A22" s="38" t="s">
        <v>49</v>
      </c>
      <c r="B22" s="39">
        <f>E8</f>
        <v>17.412081351413967</v>
      </c>
      <c r="C22" s="22"/>
      <c r="D22" s="22"/>
      <c r="E22" s="22"/>
      <c r="F22" s="22"/>
      <c r="G22" s="23">
        <v>1</v>
      </c>
      <c r="J22" s="44" t="s">
        <v>30</v>
      </c>
    </row>
    <row r="23" spans="1:32" ht="13.5" thickBot="1" x14ac:dyDescent="0.25">
      <c r="A23" s="41" t="s">
        <v>7</v>
      </c>
      <c r="B23" s="42">
        <f>C15+$C$16*$C$17</f>
        <v>20</v>
      </c>
      <c r="C23" s="24"/>
      <c r="D23" s="24"/>
      <c r="E23" s="24"/>
      <c r="F23" s="24"/>
      <c r="G23" s="25">
        <f>EXP(-(($B23-$E$8)^2/$E$10))</f>
        <v>4.3411637907833688E-3</v>
      </c>
      <c r="J23" s="21">
        <f>MAX(J26:J150)</f>
        <v>0.99999978178171234</v>
      </c>
    </row>
    <row r="24" spans="1:32" x14ac:dyDescent="0.2">
      <c r="H24" s="30">
        <v>20</v>
      </c>
      <c r="I24" s="30">
        <v>20</v>
      </c>
    </row>
    <row r="25" spans="1:32" x14ac:dyDescent="0.2">
      <c r="A25" s="20" t="s">
        <v>39</v>
      </c>
      <c r="B25" s="20" t="s">
        <v>40</v>
      </c>
      <c r="C25" s="20" t="s">
        <v>32</v>
      </c>
      <c r="D25" s="20" t="s">
        <v>33</v>
      </c>
      <c r="E25" s="20"/>
      <c r="F25" s="20" t="s">
        <v>34</v>
      </c>
      <c r="G25" s="20" t="s">
        <v>35</v>
      </c>
      <c r="H25" s="20" t="s">
        <v>36</v>
      </c>
      <c r="I25" s="20" t="s">
        <v>37</v>
      </c>
      <c r="J25" s="20" t="s">
        <v>38</v>
      </c>
    </row>
    <row r="26" spans="1:32" x14ac:dyDescent="0.2">
      <c r="A26">
        <f>C14</f>
        <v>0</v>
      </c>
      <c r="B26">
        <f t="shared" ref="B26:B57" si="4">A26+$C$16*$C$17</f>
        <v>0</v>
      </c>
      <c r="C26" s="26">
        <f t="shared" ref="C26:C57" si="5">EXP(-(($B26-$E$7)^2/$E$9))</f>
        <v>1.3148434315767309E-2</v>
      </c>
      <c r="D26" s="27">
        <f>IF(C$11&gt;-999,($E$11+(1-$E$11)*(C26-$D$20)/($D$21-$D$20)),C26)</f>
        <v>1.3637032707949703E-4</v>
      </c>
      <c r="E26" s="27"/>
      <c r="F26" s="26">
        <f t="shared" ref="F26:F57" si="6">EXP(-(($B26-$E$8)^2/$E$10))</f>
        <v>1.1402036948225244E-107</v>
      </c>
      <c r="G26" s="27">
        <f>IF(C$12&gt;-999,(1+($E$12-1)*(F26-$G$22)/($G$23-$G$22)),F26)</f>
        <v>0.53541299706895695</v>
      </c>
      <c r="H26" s="28">
        <f>1/(1+EXP(-($H$24*($B26-$E$7)/(1+ABS($B26-$E$7)))))</f>
        <v>1.0051535882333532E-8</v>
      </c>
      <c r="I26" s="28">
        <f>1/(1+EXP(-($I$24*($B26-$E$8)/(1+ABS($B26-$E$8)))))</f>
        <v>6.1074487357380518E-9</v>
      </c>
      <c r="J26" s="29">
        <f>IF(A26&gt;$H$15,(D26*(1-H26)+H26*(1*(1-I26)+G26*I26)),0.000001)</f>
        <v>1.3638037724461959E-4</v>
      </c>
      <c r="K26" s="28"/>
      <c r="L26" s="28"/>
      <c r="S26" s="29"/>
    </row>
    <row r="27" spans="1:32" x14ac:dyDescent="0.2">
      <c r="A27">
        <f>IF(A26&lt;$C$15-$C$16,A26+$C$16,$C$15)</f>
        <v>1</v>
      </c>
      <c r="B27">
        <f t="shared" si="4"/>
        <v>1</v>
      </c>
      <c r="C27" s="26">
        <f t="shared" si="5"/>
        <v>2.683180737563861E-2</v>
      </c>
      <c r="D27" s="27">
        <f t="shared" ref="D27:D90" si="7">IF(C$11&gt;-999,($E$11+(1-$E$11)*(C27-$D$20)/($D$21-$D$20)),C27)</f>
        <v>1.4000164568846256E-2</v>
      </c>
      <c r="E27" s="27"/>
      <c r="F27" s="26">
        <f t="shared" si="6"/>
        <v>9.7278592960235245E-96</v>
      </c>
      <c r="G27" s="27">
        <f t="shared" ref="G27:G90" si="8">IF(C$12&gt;-999,(1+($E$12-1)*(F27-$G$22)/($G$23-$G$22)),F27)</f>
        <v>0.53541299706895695</v>
      </c>
      <c r="H27" s="28">
        <f t="shared" ref="H27:H90" si="9">1/(1+EXP(-($H$24*($B27-$E$7)/(1+ABS($B27-$E$7)))))</f>
        <v>1.1519614508085382E-8</v>
      </c>
      <c r="I27" s="28">
        <f t="shared" ref="I27:I90" si="10">1/(1+EXP(-($I$24*($B27-$E$8)/(1+ABS($B27-$E$8)))))</f>
        <v>6.5005942153413998E-9</v>
      </c>
      <c r="J27" s="29">
        <f t="shared" ref="J27:J90" si="11">IF(A27&gt;$H$15,(D27*(1-H27)+H27*(1*(1-I27)+G27*I27)),0.000001)</f>
        <v>1.4000175927184231E-2</v>
      </c>
      <c r="K27" s="28"/>
      <c r="L27" s="28"/>
      <c r="S27" s="29"/>
    </row>
    <row r="28" spans="1:32" x14ac:dyDescent="0.2">
      <c r="A28">
        <f t="shared" ref="A28:A91" si="12">IF(A27&lt;$C$15-$C$16,A27+$C$16,$C$15)</f>
        <v>2</v>
      </c>
      <c r="B28">
        <f t="shared" si="4"/>
        <v>2</v>
      </c>
      <c r="C28" s="26">
        <f t="shared" si="5"/>
        <v>5.1354059746450166E-2</v>
      </c>
      <c r="D28" s="27">
        <f t="shared" si="7"/>
        <v>3.8845753425195549E-2</v>
      </c>
      <c r="E28" s="27"/>
      <c r="F28" s="26">
        <f t="shared" si="6"/>
        <v>1.6352269958255333E-84</v>
      </c>
      <c r="G28" s="27">
        <f t="shared" si="8"/>
        <v>0.53541299706895695</v>
      </c>
      <c r="H28" s="28">
        <f t="shared" si="9"/>
        <v>1.3545359968800584E-8</v>
      </c>
      <c r="I28" s="28">
        <f t="shared" si="10"/>
        <v>6.9718478965156603E-9</v>
      </c>
      <c r="J28" s="29">
        <f t="shared" si="11"/>
        <v>3.8845766444375762E-2</v>
      </c>
      <c r="K28" s="28"/>
      <c r="L28" s="28"/>
      <c r="S28" s="29"/>
    </row>
    <row r="29" spans="1:32" x14ac:dyDescent="0.2">
      <c r="A29">
        <f t="shared" si="12"/>
        <v>3</v>
      </c>
      <c r="B29">
        <f t="shared" si="4"/>
        <v>3</v>
      </c>
      <c r="C29" s="26">
        <f t="shared" si="5"/>
        <v>9.2182526043322721E-2</v>
      </c>
      <c r="D29" s="27">
        <f t="shared" si="7"/>
        <v>8.0212560678791955E-2</v>
      </c>
      <c r="E29" s="27"/>
      <c r="F29" s="26">
        <f t="shared" si="6"/>
        <v>5.4158265597530492E-74</v>
      </c>
      <c r="G29" s="27">
        <f t="shared" si="8"/>
        <v>0.53541299706895695</v>
      </c>
      <c r="H29" s="28">
        <f t="shared" si="9"/>
        <v>1.6472727899238821E-8</v>
      </c>
      <c r="I29" s="28">
        <f t="shared" si="10"/>
        <v>7.5454828881415544E-9</v>
      </c>
      <c r="J29" s="29">
        <f t="shared" si="11"/>
        <v>8.0212575830200111E-2</v>
      </c>
      <c r="K29" s="28"/>
      <c r="L29" s="28"/>
      <c r="S29" s="29"/>
    </row>
    <row r="30" spans="1:32" x14ac:dyDescent="0.2">
      <c r="A30">
        <f t="shared" si="12"/>
        <v>4</v>
      </c>
      <c r="B30">
        <f t="shared" si="4"/>
        <v>4</v>
      </c>
      <c r="C30" s="26">
        <f t="shared" si="5"/>
        <v>0.15519273814978177</v>
      </c>
      <c r="D30" s="27">
        <f t="shared" si="7"/>
        <v>0.14405358963793702</v>
      </c>
      <c r="E30" s="27"/>
      <c r="F30" s="26">
        <f t="shared" si="6"/>
        <v>3.5340881582657985E-64</v>
      </c>
      <c r="G30" s="27">
        <f t="shared" si="8"/>
        <v>0.53541299706895695</v>
      </c>
      <c r="H30" s="28">
        <f t="shared" si="9"/>
        <v>2.0962849882477741E-8</v>
      </c>
      <c r="I30" s="28">
        <f t="shared" si="10"/>
        <v>8.2564147245405937E-9</v>
      </c>
      <c r="J30" s="29">
        <f t="shared" si="11"/>
        <v>0.14405360758101304</v>
      </c>
      <c r="K30" s="28"/>
      <c r="L30" s="28"/>
      <c r="S30" s="29"/>
    </row>
    <row r="31" spans="1:32" x14ac:dyDescent="0.2">
      <c r="A31">
        <f t="shared" si="12"/>
        <v>5</v>
      </c>
      <c r="B31">
        <f t="shared" si="4"/>
        <v>5</v>
      </c>
      <c r="C31" s="26">
        <f t="shared" si="5"/>
        <v>0.24504348186923663</v>
      </c>
      <c r="D31" s="27">
        <f t="shared" si="7"/>
        <v>0.23508905420839254</v>
      </c>
      <c r="E31" s="27"/>
      <c r="F31" s="26">
        <f t="shared" si="6"/>
        <v>4.5437658328014295E-55</v>
      </c>
      <c r="G31" s="27">
        <f t="shared" si="8"/>
        <v>0.53541299706895695</v>
      </c>
      <c r="H31" s="28">
        <f t="shared" si="9"/>
        <v>2.8418560563148419E-8</v>
      </c>
      <c r="I31" s="28">
        <f t="shared" si="10"/>
        <v>9.1564513058262923E-9</v>
      </c>
      <c r="J31" s="29">
        <f t="shared" si="11"/>
        <v>0.23508907594606046</v>
      </c>
      <c r="K31" s="28"/>
      <c r="L31" s="28"/>
      <c r="S31" s="29"/>
    </row>
    <row r="32" spans="1:32" x14ac:dyDescent="0.2">
      <c r="A32">
        <f t="shared" si="12"/>
        <v>6</v>
      </c>
      <c r="B32">
        <f t="shared" si="4"/>
        <v>6</v>
      </c>
      <c r="C32" s="26">
        <f t="shared" si="5"/>
        <v>0.36288070960971236</v>
      </c>
      <c r="D32" s="27">
        <f t="shared" si="7"/>
        <v>0.3544800166754738</v>
      </c>
      <c r="E32" s="27"/>
      <c r="F32" s="26">
        <f t="shared" si="6"/>
        <v>1.1510135486589626E-46</v>
      </c>
      <c r="G32" s="27">
        <f t="shared" si="8"/>
        <v>0.53541299706895695</v>
      </c>
      <c r="H32" s="28">
        <f t="shared" si="9"/>
        <v>4.2234091197567787E-8</v>
      </c>
      <c r="I32" s="28">
        <f t="shared" si="10"/>
        <v>1.032531995052745E-8</v>
      </c>
      <c r="J32" s="29">
        <f t="shared" si="11"/>
        <v>0.35448004393842342</v>
      </c>
      <c r="K32" s="28"/>
      <c r="L32" s="28"/>
      <c r="S32" s="29"/>
    </row>
    <row r="33" spans="1:19" x14ac:dyDescent="0.2">
      <c r="A33">
        <f t="shared" si="12"/>
        <v>7</v>
      </c>
      <c r="B33">
        <f t="shared" si="4"/>
        <v>7</v>
      </c>
      <c r="C33" s="26">
        <f t="shared" si="5"/>
        <v>0.504003529343516</v>
      </c>
      <c r="D33" s="27">
        <f t="shared" si="7"/>
        <v>0.49746360172038789</v>
      </c>
      <c r="E33" s="27"/>
      <c r="F33" s="26">
        <f t="shared" si="6"/>
        <v>5.744746399473684E-39</v>
      </c>
      <c r="G33" s="27">
        <f t="shared" si="8"/>
        <v>0.53541299706895695</v>
      </c>
      <c r="H33" s="28">
        <f t="shared" si="9"/>
        <v>7.2264934016208986E-8</v>
      </c>
      <c r="I33" s="28">
        <f t="shared" si="10"/>
        <v>1.189115107929698E-8</v>
      </c>
      <c r="J33" s="29">
        <f t="shared" si="11"/>
        <v>0.49746363803614713</v>
      </c>
      <c r="K33" s="28"/>
      <c r="L33" s="28"/>
      <c r="S33" s="29"/>
    </row>
    <row r="34" spans="1:19" x14ac:dyDescent="0.2">
      <c r="A34">
        <f t="shared" si="12"/>
        <v>8</v>
      </c>
      <c r="B34">
        <f t="shared" si="4"/>
        <v>8</v>
      </c>
      <c r="C34" s="26">
        <f t="shared" si="5"/>
        <v>0.65652647089922189</v>
      </c>
      <c r="D34" s="27">
        <f t="shared" si="7"/>
        <v>0.65199762411568263</v>
      </c>
      <c r="E34" s="27"/>
      <c r="F34" s="26">
        <f t="shared" si="6"/>
        <v>5.6492034939753426E-32</v>
      </c>
      <c r="G34" s="27">
        <f t="shared" si="8"/>
        <v>0.53541299706895695</v>
      </c>
      <c r="H34" s="28">
        <f t="shared" si="9"/>
        <v>1.5599674537051544E-7</v>
      </c>
      <c r="I34" s="28">
        <f t="shared" si="10"/>
        <v>1.4070935534903978E-8</v>
      </c>
      <c r="J34" s="29">
        <f t="shared" si="11"/>
        <v>0.65199767840291956</v>
      </c>
      <c r="K34" s="28"/>
      <c r="L34" s="28"/>
      <c r="S34" s="29"/>
    </row>
    <row r="35" spans="1:19" x14ac:dyDescent="0.2">
      <c r="A35">
        <f t="shared" si="12"/>
        <v>9</v>
      </c>
      <c r="B35">
        <f t="shared" si="4"/>
        <v>9</v>
      </c>
      <c r="C35" s="26">
        <f t="shared" si="5"/>
        <v>0.80208403725754029</v>
      </c>
      <c r="D35" s="27">
        <f t="shared" si="7"/>
        <v>0.79947442983415629</v>
      </c>
      <c r="E35" s="27"/>
      <c r="F35" s="26">
        <f t="shared" si="6"/>
        <v>1.0945346332632133E-25</v>
      </c>
      <c r="G35" s="27">
        <f t="shared" si="8"/>
        <v>0.53541299706895695</v>
      </c>
      <c r="H35" s="28">
        <f t="shared" si="9"/>
        <v>5.149974326757335E-7</v>
      </c>
      <c r="I35" s="28">
        <f t="shared" si="10"/>
        <v>1.7256593968372253E-8</v>
      </c>
      <c r="J35" s="29">
        <f t="shared" si="11"/>
        <v>0.79947453310430605</v>
      </c>
      <c r="K35" s="28"/>
      <c r="L35" s="28"/>
    </row>
    <row r="36" spans="1:19" x14ac:dyDescent="0.2">
      <c r="A36">
        <f t="shared" si="12"/>
        <v>10</v>
      </c>
      <c r="B36">
        <f t="shared" si="4"/>
        <v>10</v>
      </c>
      <c r="C36" s="26">
        <f t="shared" si="5"/>
        <v>0.91904435824641528</v>
      </c>
      <c r="D36" s="27">
        <f t="shared" si="7"/>
        <v>0.91797692315549306</v>
      </c>
      <c r="E36" s="27"/>
      <c r="F36" s="26">
        <f t="shared" si="6"/>
        <v>4.1782818142952702E-20</v>
      </c>
      <c r="G36" s="27">
        <f t="shared" si="8"/>
        <v>0.53541299706895695</v>
      </c>
      <c r="H36" s="28">
        <f t="shared" si="9"/>
        <v>4.227142830207725E-6</v>
      </c>
      <c r="I36" s="28">
        <f t="shared" si="10"/>
        <v>2.221568774436524E-8</v>
      </c>
      <c r="J36" s="29">
        <f t="shared" si="11"/>
        <v>0.91797726987871064</v>
      </c>
      <c r="K36" s="28"/>
      <c r="L36" s="28"/>
    </row>
    <row r="37" spans="1:19" x14ac:dyDescent="0.2">
      <c r="A37">
        <f t="shared" si="12"/>
        <v>11</v>
      </c>
      <c r="B37">
        <f t="shared" si="4"/>
        <v>11</v>
      </c>
      <c r="C37" s="26">
        <f t="shared" si="5"/>
        <v>0.98764766585526931</v>
      </c>
      <c r="D37" s="27">
        <f t="shared" si="7"/>
        <v>0.9874847949961757</v>
      </c>
      <c r="E37" s="27"/>
      <c r="F37" s="26">
        <f t="shared" si="6"/>
        <v>3.1426200780242353E-15</v>
      </c>
      <c r="G37" s="27">
        <f t="shared" si="8"/>
        <v>0.53541299706895829</v>
      </c>
      <c r="H37" s="28">
        <f t="shared" si="9"/>
        <v>4.6449122547397053E-4</v>
      </c>
      <c r="I37" s="28">
        <f t="shared" si="10"/>
        <v>3.0617239358082016E-8</v>
      </c>
      <c r="J37" s="29">
        <f t="shared" si="11"/>
        <v>0.9874906081924778</v>
      </c>
      <c r="K37" s="28"/>
      <c r="L37" s="28"/>
    </row>
    <row r="38" spans="1:19" x14ac:dyDescent="0.2">
      <c r="A38">
        <f t="shared" si="12"/>
        <v>12</v>
      </c>
      <c r="B38">
        <f t="shared" si="4"/>
        <v>12</v>
      </c>
      <c r="C38" s="26">
        <f t="shared" si="5"/>
        <v>0.99544341537478687</v>
      </c>
      <c r="D38" s="27">
        <f t="shared" si="7"/>
        <v>0.99538333483909647</v>
      </c>
      <c r="E38" s="27"/>
      <c r="F38" s="26">
        <f t="shared" si="6"/>
        <v>4.6570614086582293E-11</v>
      </c>
      <c r="G38" s="27">
        <f t="shared" si="8"/>
        <v>0.53541299709059298</v>
      </c>
      <c r="H38" s="28">
        <f t="shared" si="9"/>
        <v>0.99584752512679764</v>
      </c>
      <c r="I38" s="28">
        <f t="shared" si="10"/>
        <v>4.6636234704627402E-8</v>
      </c>
      <c r="J38" s="29">
        <f t="shared" si="11"/>
        <v>0.99998080783730292</v>
      </c>
      <c r="K38" s="28"/>
      <c r="L38" s="28"/>
    </row>
    <row r="39" spans="1:19" x14ac:dyDescent="0.2">
      <c r="A39">
        <f t="shared" si="12"/>
        <v>13</v>
      </c>
      <c r="B39">
        <f t="shared" si="4"/>
        <v>13</v>
      </c>
      <c r="C39" s="26">
        <f t="shared" si="5"/>
        <v>0.9409793284171778</v>
      </c>
      <c r="D39" s="27">
        <f t="shared" si="7"/>
        <v>0.94020111537886886</v>
      </c>
      <c r="E39" s="27"/>
      <c r="F39" s="26">
        <f t="shared" si="6"/>
        <v>1.3597465951477194E-7</v>
      </c>
      <c r="G39" s="27">
        <f t="shared" si="8"/>
        <v>0.53541306024101643</v>
      </c>
      <c r="H39" s="28">
        <f t="shared" si="9"/>
        <v>0.99999071822497254</v>
      </c>
      <c r="I39" s="28">
        <f t="shared" si="10"/>
        <v>8.2988471930195916E-8</v>
      </c>
      <c r="J39" s="29">
        <f t="shared" si="11"/>
        <v>0.99999940640520368</v>
      </c>
      <c r="K39" s="28"/>
      <c r="L39" s="28"/>
    </row>
    <row r="40" spans="1:19" x14ac:dyDescent="0.2">
      <c r="A40">
        <f t="shared" si="12"/>
        <v>14</v>
      </c>
      <c r="B40">
        <f t="shared" si="4"/>
        <v>14</v>
      </c>
      <c r="C40" s="26">
        <f t="shared" si="5"/>
        <v>0.83424297027860828</v>
      </c>
      <c r="D40" s="27">
        <f t="shared" si="7"/>
        <v>0.83205739227244269</v>
      </c>
      <c r="E40" s="27"/>
      <c r="F40" s="26">
        <f t="shared" si="6"/>
        <v>7.8222182101251231E-5</v>
      </c>
      <c r="G40" s="27">
        <f t="shared" si="8"/>
        <v>0.53544933807810202</v>
      </c>
      <c r="H40" s="28">
        <f t="shared" si="9"/>
        <v>0.99999923108533328</v>
      </c>
      <c r="I40" s="28">
        <f t="shared" si="10"/>
        <v>1.9176556895695153E-7</v>
      </c>
      <c r="J40" s="29">
        <f t="shared" si="11"/>
        <v>0.99999978178171234</v>
      </c>
      <c r="K40" s="28"/>
      <c r="L40" s="28"/>
    </row>
    <row r="41" spans="1:19" x14ac:dyDescent="0.2">
      <c r="A41">
        <f t="shared" si="12"/>
        <v>15</v>
      </c>
      <c r="B41">
        <f t="shared" si="4"/>
        <v>15</v>
      </c>
      <c r="C41" s="26">
        <f t="shared" si="5"/>
        <v>0.69367173208128541</v>
      </c>
      <c r="D41" s="27">
        <f t="shared" si="7"/>
        <v>0.68963266160472536</v>
      </c>
      <c r="E41" s="27"/>
      <c r="F41" s="26">
        <f t="shared" si="6"/>
        <v>8.8660016029607647E-3</v>
      </c>
      <c r="G41" s="27">
        <f t="shared" si="8"/>
        <v>0.5395320261816583</v>
      </c>
      <c r="H41" s="28">
        <f t="shared" si="9"/>
        <v>0.99999980122215804</v>
      </c>
      <c r="I41" s="28">
        <f t="shared" si="10"/>
        <v>7.2399904327073174E-7</v>
      </c>
      <c r="J41" s="29">
        <f t="shared" si="11"/>
        <v>0.99999960492754403</v>
      </c>
      <c r="K41" s="28"/>
      <c r="L41" s="28"/>
      <c r="S41" s="29"/>
    </row>
    <row r="42" spans="1:19" x14ac:dyDescent="0.2">
      <c r="A42">
        <f t="shared" si="12"/>
        <v>16</v>
      </c>
      <c r="B42">
        <f t="shared" si="4"/>
        <v>16</v>
      </c>
      <c r="C42" s="26">
        <f t="shared" si="5"/>
        <v>0.54095906918959402</v>
      </c>
      <c r="D42" s="27">
        <f t="shared" si="7"/>
        <v>0.5349064163157139</v>
      </c>
      <c r="E42" s="27"/>
      <c r="F42" s="26">
        <f t="shared" si="6"/>
        <v>0.19799381124935989</v>
      </c>
      <c r="G42" s="27">
        <f t="shared" si="8"/>
        <v>0.62739834843619158</v>
      </c>
      <c r="H42" s="28">
        <f t="shared" si="9"/>
        <v>0.99999991500985674</v>
      </c>
      <c r="I42" s="28">
        <f t="shared" si="10"/>
        <v>8.224328401623784E-6</v>
      </c>
      <c r="J42" s="29">
        <f t="shared" si="11"/>
        <v>0.99999689607354469</v>
      </c>
      <c r="K42" s="28"/>
      <c r="L42" s="28"/>
    </row>
    <row r="43" spans="1:19" x14ac:dyDescent="0.2">
      <c r="A43">
        <f t="shared" si="12"/>
        <v>17</v>
      </c>
      <c r="B43">
        <f t="shared" si="4"/>
        <v>17</v>
      </c>
      <c r="C43" s="26">
        <f t="shared" si="5"/>
        <v>0.39566149134739831</v>
      </c>
      <c r="D43" s="27">
        <f t="shared" si="7"/>
        <v>0.38769302717420367</v>
      </c>
      <c r="E43" s="27"/>
      <c r="F43" s="26">
        <f t="shared" si="6"/>
        <v>0.87116688249747953</v>
      </c>
      <c r="G43" s="27">
        <f t="shared" si="8"/>
        <v>0.94014580806124115</v>
      </c>
      <c r="H43" s="28">
        <f t="shared" si="9"/>
        <v>0.99999995256596286</v>
      </c>
      <c r="I43" s="28">
        <f t="shared" si="10"/>
        <v>2.9105161838984556E-3</v>
      </c>
      <c r="J43" s="29">
        <f t="shared" si="11"/>
        <v>0.99982576436975956</v>
      </c>
      <c r="K43" s="28"/>
      <c r="L43" s="28"/>
    </row>
    <row r="44" spans="1:19" x14ac:dyDescent="0.2">
      <c r="A44">
        <f t="shared" si="12"/>
        <v>18</v>
      </c>
      <c r="B44">
        <f t="shared" si="4"/>
        <v>18</v>
      </c>
      <c r="C44" s="26">
        <f t="shared" si="5"/>
        <v>0.27141392734744413</v>
      </c>
      <c r="D44" s="27">
        <f t="shared" si="7"/>
        <v>0.26180720539625729</v>
      </c>
      <c r="E44" s="27"/>
      <c r="F44" s="26">
        <f t="shared" si="6"/>
        <v>0.75522616988786273</v>
      </c>
      <c r="G44" s="27">
        <f t="shared" si="8"/>
        <v>0.88628125987224982</v>
      </c>
      <c r="H44" s="28">
        <f t="shared" si="9"/>
        <v>0.99999996899191446</v>
      </c>
      <c r="I44" s="28">
        <f t="shared" si="10"/>
        <v>0.99939210258240685</v>
      </c>
      <c r="J44" s="29">
        <f t="shared" si="11"/>
        <v>0.88635036983481696</v>
      </c>
      <c r="K44" s="28"/>
      <c r="L44" s="28"/>
    </row>
    <row r="45" spans="1:19" x14ac:dyDescent="0.2">
      <c r="A45">
        <f t="shared" si="12"/>
        <v>19</v>
      </c>
      <c r="B45">
        <f t="shared" si="4"/>
        <v>19</v>
      </c>
      <c r="C45" s="26">
        <f t="shared" si="5"/>
        <v>0.17461817429381363</v>
      </c>
      <c r="D45" s="27">
        <f t="shared" si="7"/>
        <v>0.16373515854489262</v>
      </c>
      <c r="E45" s="27"/>
      <c r="F45" s="26">
        <f t="shared" si="6"/>
        <v>0.12899671045026653</v>
      </c>
      <c r="G45" s="27">
        <f t="shared" si="8"/>
        <v>0.59534319216500986</v>
      </c>
      <c r="H45" s="28">
        <f t="shared" si="9"/>
        <v>0.99999997756457082</v>
      </c>
      <c r="I45" s="28">
        <f t="shared" si="10"/>
        <v>0.99999531800605457</v>
      </c>
      <c r="J45" s="29">
        <f t="shared" si="11"/>
        <v>0.59534507708238016</v>
      </c>
      <c r="K45" s="28"/>
      <c r="L45" s="28"/>
    </row>
    <row r="46" spans="1:19" x14ac:dyDescent="0.2">
      <c r="A46">
        <f t="shared" si="12"/>
        <v>20</v>
      </c>
      <c r="B46">
        <f t="shared" si="4"/>
        <v>20</v>
      </c>
      <c r="C46" s="26">
        <f t="shared" si="5"/>
        <v>0.10536484321338371</v>
      </c>
      <c r="D46" s="27">
        <f t="shared" si="7"/>
        <v>9.3568692392499223E-2</v>
      </c>
      <c r="E46" s="27"/>
      <c r="F46" s="26">
        <f t="shared" si="6"/>
        <v>4.3411637907833688E-3</v>
      </c>
      <c r="G46" s="27">
        <f t="shared" si="8"/>
        <v>0.53742984534374971</v>
      </c>
      <c r="H46" s="28">
        <f t="shared" si="9"/>
        <v>0.99999998260725509</v>
      </c>
      <c r="I46" s="28">
        <f t="shared" si="10"/>
        <v>0.99999945677277813</v>
      </c>
      <c r="J46" s="29">
        <f t="shared" si="11"/>
        <v>0.53743008890448163</v>
      </c>
      <c r="K46" s="28"/>
      <c r="L46" s="28"/>
    </row>
    <row r="47" spans="1:19" x14ac:dyDescent="0.2">
      <c r="A47">
        <f t="shared" si="12"/>
        <v>20</v>
      </c>
      <c r="B47">
        <f t="shared" si="4"/>
        <v>20</v>
      </c>
      <c r="C47" s="26">
        <f t="shared" si="5"/>
        <v>0.10536484321338371</v>
      </c>
      <c r="D47" s="27">
        <f t="shared" si="7"/>
        <v>9.3568692392499223E-2</v>
      </c>
      <c r="E47" s="27"/>
      <c r="F47" s="26">
        <f t="shared" si="6"/>
        <v>4.3411637907833688E-3</v>
      </c>
      <c r="G47" s="27">
        <f t="shared" si="8"/>
        <v>0.53742984534374971</v>
      </c>
      <c r="H47" s="28">
        <f t="shared" si="9"/>
        <v>0.99999998260725509</v>
      </c>
      <c r="I47" s="28">
        <f t="shared" si="10"/>
        <v>0.99999945677277813</v>
      </c>
      <c r="J47" s="29">
        <f t="shared" si="11"/>
        <v>0.53743008890448163</v>
      </c>
      <c r="K47" s="28"/>
      <c r="L47" s="28"/>
    </row>
    <row r="48" spans="1:19" x14ac:dyDescent="0.2">
      <c r="A48">
        <f t="shared" si="12"/>
        <v>20</v>
      </c>
      <c r="B48">
        <f t="shared" si="4"/>
        <v>20</v>
      </c>
      <c r="C48" s="26">
        <f t="shared" si="5"/>
        <v>0.10536484321338371</v>
      </c>
      <c r="D48" s="27">
        <f t="shared" si="7"/>
        <v>9.3568692392499223E-2</v>
      </c>
      <c r="E48" s="27"/>
      <c r="F48" s="26">
        <f t="shared" si="6"/>
        <v>4.3411637907833688E-3</v>
      </c>
      <c r="G48" s="27">
        <f t="shared" si="8"/>
        <v>0.53742984534374971</v>
      </c>
      <c r="H48" s="28">
        <f t="shared" si="9"/>
        <v>0.99999998260725509</v>
      </c>
      <c r="I48" s="28">
        <f t="shared" si="10"/>
        <v>0.99999945677277813</v>
      </c>
      <c r="J48" s="29">
        <f t="shared" si="11"/>
        <v>0.53743008890448163</v>
      </c>
      <c r="K48" s="28"/>
      <c r="L48" s="28"/>
    </row>
    <row r="49" spans="1:12" x14ac:dyDescent="0.2">
      <c r="A49">
        <f t="shared" si="12"/>
        <v>20</v>
      </c>
      <c r="B49">
        <f t="shared" si="4"/>
        <v>20</v>
      </c>
      <c r="C49" s="26">
        <f t="shared" si="5"/>
        <v>0.10536484321338371</v>
      </c>
      <c r="D49" s="27">
        <f t="shared" si="7"/>
        <v>9.3568692392499223E-2</v>
      </c>
      <c r="E49" s="27"/>
      <c r="F49" s="26">
        <f t="shared" si="6"/>
        <v>4.3411637907833688E-3</v>
      </c>
      <c r="G49" s="27">
        <f t="shared" si="8"/>
        <v>0.53742984534374971</v>
      </c>
      <c r="H49" s="28">
        <f t="shared" si="9"/>
        <v>0.99999998260725509</v>
      </c>
      <c r="I49" s="28">
        <f t="shared" si="10"/>
        <v>0.99999945677277813</v>
      </c>
      <c r="J49" s="29">
        <f t="shared" si="11"/>
        <v>0.53743008890448163</v>
      </c>
      <c r="K49" s="28"/>
      <c r="L49" s="28"/>
    </row>
    <row r="50" spans="1:12" x14ac:dyDescent="0.2">
      <c r="A50">
        <f t="shared" si="12"/>
        <v>20</v>
      </c>
      <c r="B50">
        <f t="shared" si="4"/>
        <v>20</v>
      </c>
      <c r="C50" s="26">
        <f t="shared" si="5"/>
        <v>0.10536484321338371</v>
      </c>
      <c r="D50" s="27">
        <f t="shared" si="7"/>
        <v>9.3568692392499223E-2</v>
      </c>
      <c r="E50" s="27"/>
      <c r="F50" s="26">
        <f t="shared" si="6"/>
        <v>4.3411637907833688E-3</v>
      </c>
      <c r="G50" s="27">
        <f t="shared" si="8"/>
        <v>0.53742984534374971</v>
      </c>
      <c r="H50" s="28">
        <f t="shared" si="9"/>
        <v>0.99999998260725509</v>
      </c>
      <c r="I50" s="28">
        <f t="shared" si="10"/>
        <v>0.99999945677277813</v>
      </c>
      <c r="J50" s="29">
        <f t="shared" si="11"/>
        <v>0.53743008890448163</v>
      </c>
      <c r="K50" s="28"/>
      <c r="L50" s="28"/>
    </row>
    <row r="51" spans="1:12" x14ac:dyDescent="0.2">
      <c r="A51">
        <f t="shared" si="12"/>
        <v>20</v>
      </c>
      <c r="B51">
        <f t="shared" si="4"/>
        <v>20</v>
      </c>
      <c r="C51" s="26">
        <f t="shared" si="5"/>
        <v>0.10536484321338371</v>
      </c>
      <c r="D51" s="27">
        <f t="shared" si="7"/>
        <v>9.3568692392499223E-2</v>
      </c>
      <c r="E51" s="27"/>
      <c r="F51" s="26">
        <f t="shared" si="6"/>
        <v>4.3411637907833688E-3</v>
      </c>
      <c r="G51" s="27">
        <f t="shared" si="8"/>
        <v>0.53742984534374971</v>
      </c>
      <c r="H51" s="28">
        <f t="shared" si="9"/>
        <v>0.99999998260725509</v>
      </c>
      <c r="I51" s="28">
        <f t="shared" si="10"/>
        <v>0.99999945677277813</v>
      </c>
      <c r="J51" s="29">
        <f t="shared" si="11"/>
        <v>0.53743008890448163</v>
      </c>
      <c r="K51" s="28"/>
      <c r="L51" s="28"/>
    </row>
    <row r="52" spans="1:12" x14ac:dyDescent="0.2">
      <c r="A52">
        <f t="shared" si="12"/>
        <v>20</v>
      </c>
      <c r="B52">
        <f t="shared" si="4"/>
        <v>20</v>
      </c>
      <c r="C52" s="26">
        <f t="shared" si="5"/>
        <v>0.10536484321338371</v>
      </c>
      <c r="D52" s="27">
        <f t="shared" si="7"/>
        <v>9.3568692392499223E-2</v>
      </c>
      <c r="E52" s="27"/>
      <c r="F52" s="26">
        <f t="shared" si="6"/>
        <v>4.3411637907833688E-3</v>
      </c>
      <c r="G52" s="27">
        <f t="shared" si="8"/>
        <v>0.53742984534374971</v>
      </c>
      <c r="H52" s="28">
        <f t="shared" si="9"/>
        <v>0.99999998260725509</v>
      </c>
      <c r="I52" s="28">
        <f t="shared" si="10"/>
        <v>0.99999945677277813</v>
      </c>
      <c r="J52" s="29">
        <f t="shared" si="11"/>
        <v>0.53743008890448163</v>
      </c>
      <c r="K52" s="28"/>
      <c r="L52" s="28"/>
    </row>
    <row r="53" spans="1:12" x14ac:dyDescent="0.2">
      <c r="A53">
        <f t="shared" si="12"/>
        <v>20</v>
      </c>
      <c r="B53">
        <f t="shared" si="4"/>
        <v>20</v>
      </c>
      <c r="C53" s="26">
        <f t="shared" si="5"/>
        <v>0.10536484321338371</v>
      </c>
      <c r="D53" s="27">
        <f t="shared" si="7"/>
        <v>9.3568692392499223E-2</v>
      </c>
      <c r="E53" s="27"/>
      <c r="F53" s="26">
        <f t="shared" si="6"/>
        <v>4.3411637907833688E-3</v>
      </c>
      <c r="G53" s="27">
        <f t="shared" si="8"/>
        <v>0.53742984534374971</v>
      </c>
      <c r="H53" s="28">
        <f t="shared" si="9"/>
        <v>0.99999998260725509</v>
      </c>
      <c r="I53" s="28">
        <f t="shared" si="10"/>
        <v>0.99999945677277813</v>
      </c>
      <c r="J53" s="29">
        <f t="shared" si="11"/>
        <v>0.53743008890448163</v>
      </c>
      <c r="K53" s="28"/>
      <c r="L53" s="28"/>
    </row>
    <row r="54" spans="1:12" x14ac:dyDescent="0.2">
      <c r="A54">
        <f t="shared" si="12"/>
        <v>20</v>
      </c>
      <c r="B54">
        <f t="shared" si="4"/>
        <v>20</v>
      </c>
      <c r="C54" s="26">
        <f t="shared" si="5"/>
        <v>0.10536484321338371</v>
      </c>
      <c r="D54" s="27">
        <f t="shared" si="7"/>
        <v>9.3568692392499223E-2</v>
      </c>
      <c r="E54" s="27"/>
      <c r="F54" s="26">
        <f t="shared" si="6"/>
        <v>4.3411637907833688E-3</v>
      </c>
      <c r="G54" s="27">
        <f t="shared" si="8"/>
        <v>0.53742984534374971</v>
      </c>
      <c r="H54" s="28">
        <f t="shared" si="9"/>
        <v>0.99999998260725509</v>
      </c>
      <c r="I54" s="28">
        <f t="shared" si="10"/>
        <v>0.99999945677277813</v>
      </c>
      <c r="J54" s="29">
        <f t="shared" si="11"/>
        <v>0.53743008890448163</v>
      </c>
      <c r="K54" s="28"/>
      <c r="L54" s="28"/>
    </row>
    <row r="55" spans="1:12" x14ac:dyDescent="0.2">
      <c r="A55">
        <f t="shared" si="12"/>
        <v>20</v>
      </c>
      <c r="B55">
        <f t="shared" si="4"/>
        <v>20</v>
      </c>
      <c r="C55" s="26">
        <f t="shared" si="5"/>
        <v>0.10536484321338371</v>
      </c>
      <c r="D55" s="27">
        <f t="shared" si="7"/>
        <v>9.3568692392499223E-2</v>
      </c>
      <c r="E55" s="27"/>
      <c r="F55" s="26">
        <f t="shared" si="6"/>
        <v>4.3411637907833688E-3</v>
      </c>
      <c r="G55" s="27">
        <f t="shared" si="8"/>
        <v>0.53742984534374971</v>
      </c>
      <c r="H55" s="28">
        <f t="shared" si="9"/>
        <v>0.99999998260725509</v>
      </c>
      <c r="I55" s="28">
        <f t="shared" si="10"/>
        <v>0.99999945677277813</v>
      </c>
      <c r="J55" s="29">
        <f t="shared" si="11"/>
        <v>0.53743008890448163</v>
      </c>
      <c r="K55" s="28"/>
      <c r="L55" s="28"/>
    </row>
    <row r="56" spans="1:12" x14ac:dyDescent="0.2">
      <c r="A56">
        <f t="shared" si="12"/>
        <v>20</v>
      </c>
      <c r="B56">
        <f t="shared" si="4"/>
        <v>20</v>
      </c>
      <c r="C56" s="26">
        <f t="shared" si="5"/>
        <v>0.10536484321338371</v>
      </c>
      <c r="D56" s="27">
        <f t="shared" si="7"/>
        <v>9.3568692392499223E-2</v>
      </c>
      <c r="E56" s="27"/>
      <c r="F56" s="26">
        <f t="shared" si="6"/>
        <v>4.3411637907833688E-3</v>
      </c>
      <c r="G56" s="27">
        <f t="shared" si="8"/>
        <v>0.53742984534374971</v>
      </c>
      <c r="H56" s="28">
        <f t="shared" si="9"/>
        <v>0.99999998260725509</v>
      </c>
      <c r="I56" s="28">
        <f t="shared" si="10"/>
        <v>0.99999945677277813</v>
      </c>
      <c r="J56" s="29">
        <f t="shared" si="11"/>
        <v>0.53743008890448163</v>
      </c>
      <c r="K56" s="28"/>
      <c r="L56" s="28"/>
    </row>
    <row r="57" spans="1:12" x14ac:dyDescent="0.2">
      <c r="A57">
        <f t="shared" si="12"/>
        <v>20</v>
      </c>
      <c r="B57">
        <f t="shared" si="4"/>
        <v>20</v>
      </c>
      <c r="C57" s="26">
        <f t="shared" si="5"/>
        <v>0.10536484321338371</v>
      </c>
      <c r="D57" s="27">
        <f t="shared" si="7"/>
        <v>9.3568692392499223E-2</v>
      </c>
      <c r="E57" s="27"/>
      <c r="F57" s="26">
        <f t="shared" si="6"/>
        <v>4.3411637907833688E-3</v>
      </c>
      <c r="G57" s="27">
        <f t="shared" si="8"/>
        <v>0.53742984534374971</v>
      </c>
      <c r="H57" s="28">
        <f t="shared" si="9"/>
        <v>0.99999998260725509</v>
      </c>
      <c r="I57" s="28">
        <f t="shared" si="10"/>
        <v>0.99999945677277813</v>
      </c>
      <c r="J57" s="29">
        <f t="shared" si="11"/>
        <v>0.53743008890448163</v>
      </c>
      <c r="K57" s="28"/>
      <c r="L57" s="28"/>
    </row>
    <row r="58" spans="1:12" x14ac:dyDescent="0.2">
      <c r="A58">
        <f t="shared" si="12"/>
        <v>20</v>
      </c>
      <c r="B58">
        <f t="shared" ref="B58:B89" si="13">A58+$C$16*$C$17</f>
        <v>20</v>
      </c>
      <c r="C58" s="26">
        <f t="shared" ref="C58:C89" si="14">EXP(-(($B58-$E$7)^2/$E$9))</f>
        <v>0.10536484321338371</v>
      </c>
      <c r="D58" s="27">
        <f t="shared" si="7"/>
        <v>9.3568692392499223E-2</v>
      </c>
      <c r="E58" s="27"/>
      <c r="F58" s="26">
        <f t="shared" ref="F58:F89" si="15">EXP(-(($B58-$E$8)^2/$E$10))</f>
        <v>4.3411637907833688E-3</v>
      </c>
      <c r="G58" s="27">
        <f t="shared" si="8"/>
        <v>0.53742984534374971</v>
      </c>
      <c r="H58" s="28">
        <f t="shared" si="9"/>
        <v>0.99999998260725509</v>
      </c>
      <c r="I58" s="28">
        <f t="shared" si="10"/>
        <v>0.99999945677277813</v>
      </c>
      <c r="J58" s="29">
        <f t="shared" si="11"/>
        <v>0.53743008890448163</v>
      </c>
      <c r="K58" s="28"/>
      <c r="L58" s="28"/>
    </row>
    <row r="59" spans="1:12" x14ac:dyDescent="0.2">
      <c r="A59">
        <f t="shared" si="12"/>
        <v>20</v>
      </c>
      <c r="B59">
        <f t="shared" si="13"/>
        <v>20</v>
      </c>
      <c r="C59" s="26">
        <f t="shared" si="14"/>
        <v>0.10536484321338371</v>
      </c>
      <c r="D59" s="27">
        <f t="shared" si="7"/>
        <v>9.3568692392499223E-2</v>
      </c>
      <c r="E59" s="27"/>
      <c r="F59" s="26">
        <f t="shared" si="15"/>
        <v>4.3411637907833688E-3</v>
      </c>
      <c r="G59" s="27">
        <f t="shared" si="8"/>
        <v>0.53742984534374971</v>
      </c>
      <c r="H59" s="28">
        <f t="shared" si="9"/>
        <v>0.99999998260725509</v>
      </c>
      <c r="I59" s="28">
        <f t="shared" si="10"/>
        <v>0.99999945677277813</v>
      </c>
      <c r="J59" s="29">
        <f t="shared" si="11"/>
        <v>0.53743008890448163</v>
      </c>
      <c r="K59" s="28"/>
      <c r="L59" s="28"/>
    </row>
    <row r="60" spans="1:12" x14ac:dyDescent="0.2">
      <c r="A60">
        <f t="shared" si="12"/>
        <v>20</v>
      </c>
      <c r="B60">
        <f t="shared" si="13"/>
        <v>20</v>
      </c>
      <c r="C60" s="26">
        <f t="shared" si="14"/>
        <v>0.10536484321338371</v>
      </c>
      <c r="D60" s="27">
        <f t="shared" si="7"/>
        <v>9.3568692392499223E-2</v>
      </c>
      <c r="E60" s="27"/>
      <c r="F60" s="26">
        <f t="shared" si="15"/>
        <v>4.3411637907833688E-3</v>
      </c>
      <c r="G60" s="27">
        <f t="shared" si="8"/>
        <v>0.53742984534374971</v>
      </c>
      <c r="H60" s="28">
        <f t="shared" si="9"/>
        <v>0.99999998260725509</v>
      </c>
      <c r="I60" s="28">
        <f t="shared" si="10"/>
        <v>0.99999945677277813</v>
      </c>
      <c r="J60" s="29">
        <f t="shared" si="11"/>
        <v>0.53743008890448163</v>
      </c>
      <c r="K60" s="28"/>
      <c r="L60" s="28"/>
    </row>
    <row r="61" spans="1:12" x14ac:dyDescent="0.2">
      <c r="A61">
        <f t="shared" si="12"/>
        <v>20</v>
      </c>
      <c r="B61">
        <f t="shared" si="13"/>
        <v>20</v>
      </c>
      <c r="C61" s="26">
        <f t="shared" si="14"/>
        <v>0.10536484321338371</v>
      </c>
      <c r="D61" s="27">
        <f t="shared" si="7"/>
        <v>9.3568692392499223E-2</v>
      </c>
      <c r="E61" s="27"/>
      <c r="F61" s="26">
        <f t="shared" si="15"/>
        <v>4.3411637907833688E-3</v>
      </c>
      <c r="G61" s="27">
        <f t="shared" si="8"/>
        <v>0.53742984534374971</v>
      </c>
      <c r="H61" s="28">
        <f t="shared" si="9"/>
        <v>0.99999998260725509</v>
      </c>
      <c r="I61" s="28">
        <f t="shared" si="10"/>
        <v>0.99999945677277813</v>
      </c>
      <c r="J61" s="29">
        <f t="shared" si="11"/>
        <v>0.53743008890448163</v>
      </c>
      <c r="K61" s="28"/>
      <c r="L61" s="28"/>
    </row>
    <row r="62" spans="1:12" x14ac:dyDescent="0.2">
      <c r="A62">
        <f t="shared" si="12"/>
        <v>20</v>
      </c>
      <c r="B62">
        <f t="shared" si="13"/>
        <v>20</v>
      </c>
      <c r="C62" s="26">
        <f t="shared" si="14"/>
        <v>0.10536484321338371</v>
      </c>
      <c r="D62" s="27">
        <f t="shared" si="7"/>
        <v>9.3568692392499223E-2</v>
      </c>
      <c r="E62" s="27"/>
      <c r="F62" s="26">
        <f t="shared" si="15"/>
        <v>4.3411637907833688E-3</v>
      </c>
      <c r="G62" s="27">
        <f t="shared" si="8"/>
        <v>0.53742984534374971</v>
      </c>
      <c r="H62" s="28">
        <f t="shared" si="9"/>
        <v>0.99999998260725509</v>
      </c>
      <c r="I62" s="28">
        <f t="shared" si="10"/>
        <v>0.99999945677277813</v>
      </c>
      <c r="J62" s="29">
        <f t="shared" si="11"/>
        <v>0.53743008890448163</v>
      </c>
      <c r="K62" s="28"/>
      <c r="L62" s="28"/>
    </row>
    <row r="63" spans="1:12" x14ac:dyDescent="0.2">
      <c r="A63">
        <f t="shared" si="12"/>
        <v>20</v>
      </c>
      <c r="B63">
        <f t="shared" si="13"/>
        <v>20</v>
      </c>
      <c r="C63" s="26">
        <f t="shared" si="14"/>
        <v>0.10536484321338371</v>
      </c>
      <c r="D63" s="27">
        <f t="shared" si="7"/>
        <v>9.3568692392499223E-2</v>
      </c>
      <c r="E63" s="27"/>
      <c r="F63" s="26">
        <f t="shared" si="15"/>
        <v>4.3411637907833688E-3</v>
      </c>
      <c r="G63" s="27">
        <f t="shared" si="8"/>
        <v>0.53742984534374971</v>
      </c>
      <c r="H63" s="28">
        <f t="shared" si="9"/>
        <v>0.99999998260725509</v>
      </c>
      <c r="I63" s="28">
        <f t="shared" si="10"/>
        <v>0.99999945677277813</v>
      </c>
      <c r="J63" s="29">
        <f t="shared" si="11"/>
        <v>0.53743008890448163</v>
      </c>
      <c r="K63" s="28"/>
      <c r="L63" s="28"/>
    </row>
    <row r="64" spans="1:12" x14ac:dyDescent="0.2">
      <c r="A64">
        <f t="shared" si="12"/>
        <v>20</v>
      </c>
      <c r="B64">
        <f t="shared" si="13"/>
        <v>20</v>
      </c>
      <c r="C64" s="26">
        <f t="shared" si="14"/>
        <v>0.10536484321338371</v>
      </c>
      <c r="D64" s="27">
        <f t="shared" si="7"/>
        <v>9.3568692392499223E-2</v>
      </c>
      <c r="E64" s="27"/>
      <c r="F64" s="26">
        <f t="shared" si="15"/>
        <v>4.3411637907833688E-3</v>
      </c>
      <c r="G64" s="27">
        <f t="shared" si="8"/>
        <v>0.53742984534374971</v>
      </c>
      <c r="H64" s="28">
        <f t="shared" si="9"/>
        <v>0.99999998260725509</v>
      </c>
      <c r="I64" s="28">
        <f t="shared" si="10"/>
        <v>0.99999945677277813</v>
      </c>
      <c r="J64" s="29">
        <f t="shared" si="11"/>
        <v>0.53743008890448163</v>
      </c>
      <c r="K64" s="28"/>
      <c r="L64" s="28"/>
    </row>
    <row r="65" spans="1:12" x14ac:dyDescent="0.2">
      <c r="A65">
        <f t="shared" si="12"/>
        <v>20</v>
      </c>
      <c r="B65">
        <f t="shared" si="13"/>
        <v>20</v>
      </c>
      <c r="C65" s="26">
        <f t="shared" si="14"/>
        <v>0.10536484321338371</v>
      </c>
      <c r="D65" s="27">
        <f t="shared" si="7"/>
        <v>9.3568692392499223E-2</v>
      </c>
      <c r="E65" s="27"/>
      <c r="F65" s="26">
        <f t="shared" si="15"/>
        <v>4.3411637907833688E-3</v>
      </c>
      <c r="G65" s="27">
        <f t="shared" si="8"/>
        <v>0.53742984534374971</v>
      </c>
      <c r="H65" s="28">
        <f t="shared" si="9"/>
        <v>0.99999998260725509</v>
      </c>
      <c r="I65" s="28">
        <f t="shared" si="10"/>
        <v>0.99999945677277813</v>
      </c>
      <c r="J65" s="29">
        <f t="shared" si="11"/>
        <v>0.53743008890448163</v>
      </c>
      <c r="K65" s="28"/>
      <c r="L65" s="28"/>
    </row>
    <row r="66" spans="1:12" x14ac:dyDescent="0.2">
      <c r="A66">
        <f t="shared" si="12"/>
        <v>20</v>
      </c>
      <c r="B66">
        <f t="shared" si="13"/>
        <v>20</v>
      </c>
      <c r="C66" s="26">
        <f t="shared" si="14"/>
        <v>0.10536484321338371</v>
      </c>
      <c r="D66" s="27">
        <f t="shared" si="7"/>
        <v>9.3568692392499223E-2</v>
      </c>
      <c r="E66" s="27"/>
      <c r="F66" s="26">
        <f t="shared" si="15"/>
        <v>4.3411637907833688E-3</v>
      </c>
      <c r="G66" s="27">
        <f t="shared" si="8"/>
        <v>0.53742984534374971</v>
      </c>
      <c r="H66" s="28">
        <f t="shared" si="9"/>
        <v>0.99999998260725509</v>
      </c>
      <c r="I66" s="28">
        <f t="shared" si="10"/>
        <v>0.99999945677277813</v>
      </c>
      <c r="J66" s="29">
        <f t="shared" si="11"/>
        <v>0.53743008890448163</v>
      </c>
      <c r="K66" s="28"/>
      <c r="L66" s="28"/>
    </row>
    <row r="67" spans="1:12" x14ac:dyDescent="0.2">
      <c r="A67">
        <f t="shared" si="12"/>
        <v>20</v>
      </c>
      <c r="B67">
        <f t="shared" si="13"/>
        <v>20</v>
      </c>
      <c r="C67" s="26">
        <f t="shared" si="14"/>
        <v>0.10536484321338371</v>
      </c>
      <c r="D67" s="27">
        <f t="shared" si="7"/>
        <v>9.3568692392499223E-2</v>
      </c>
      <c r="E67" s="27"/>
      <c r="F67" s="26">
        <f t="shared" si="15"/>
        <v>4.3411637907833688E-3</v>
      </c>
      <c r="G67" s="27">
        <f t="shared" si="8"/>
        <v>0.53742984534374971</v>
      </c>
      <c r="H67" s="28">
        <f t="shared" si="9"/>
        <v>0.99999998260725509</v>
      </c>
      <c r="I67" s="28">
        <f t="shared" si="10"/>
        <v>0.99999945677277813</v>
      </c>
      <c r="J67" s="29">
        <f t="shared" si="11"/>
        <v>0.53743008890448163</v>
      </c>
      <c r="K67" s="28"/>
      <c r="L67" s="28"/>
    </row>
    <row r="68" spans="1:12" x14ac:dyDescent="0.2">
      <c r="A68">
        <f t="shared" si="12"/>
        <v>20</v>
      </c>
      <c r="B68">
        <f t="shared" si="13"/>
        <v>20</v>
      </c>
      <c r="C68" s="26">
        <f t="shared" si="14"/>
        <v>0.10536484321338371</v>
      </c>
      <c r="D68" s="27">
        <f t="shared" si="7"/>
        <v>9.3568692392499223E-2</v>
      </c>
      <c r="E68" s="27"/>
      <c r="F68" s="26">
        <f t="shared" si="15"/>
        <v>4.3411637907833688E-3</v>
      </c>
      <c r="G68" s="27">
        <f t="shared" si="8"/>
        <v>0.53742984534374971</v>
      </c>
      <c r="H68" s="28">
        <f t="shared" si="9"/>
        <v>0.99999998260725509</v>
      </c>
      <c r="I68" s="28">
        <f t="shared" si="10"/>
        <v>0.99999945677277813</v>
      </c>
      <c r="J68" s="29">
        <f t="shared" si="11"/>
        <v>0.53743008890448163</v>
      </c>
      <c r="K68" s="28"/>
      <c r="L68" s="28"/>
    </row>
    <row r="69" spans="1:12" x14ac:dyDescent="0.2">
      <c r="A69">
        <f t="shared" si="12"/>
        <v>20</v>
      </c>
      <c r="B69">
        <f t="shared" si="13"/>
        <v>20</v>
      </c>
      <c r="C69" s="26">
        <f t="shared" si="14"/>
        <v>0.10536484321338371</v>
      </c>
      <c r="D69" s="27">
        <f t="shared" si="7"/>
        <v>9.3568692392499223E-2</v>
      </c>
      <c r="E69" s="27"/>
      <c r="F69" s="26">
        <f t="shared" si="15"/>
        <v>4.3411637907833688E-3</v>
      </c>
      <c r="G69" s="27">
        <f t="shared" si="8"/>
        <v>0.53742984534374971</v>
      </c>
      <c r="H69" s="28">
        <f t="shared" si="9"/>
        <v>0.99999998260725509</v>
      </c>
      <c r="I69" s="28">
        <f t="shared" si="10"/>
        <v>0.99999945677277813</v>
      </c>
      <c r="J69" s="29">
        <f t="shared" si="11"/>
        <v>0.53743008890448163</v>
      </c>
      <c r="K69" s="28"/>
      <c r="L69" s="28"/>
    </row>
    <row r="70" spans="1:12" x14ac:dyDescent="0.2">
      <c r="A70">
        <f t="shared" si="12"/>
        <v>20</v>
      </c>
      <c r="B70">
        <f t="shared" si="13"/>
        <v>20</v>
      </c>
      <c r="C70" s="26">
        <f t="shared" si="14"/>
        <v>0.10536484321338371</v>
      </c>
      <c r="D70" s="27">
        <f t="shared" si="7"/>
        <v>9.3568692392499223E-2</v>
      </c>
      <c r="E70" s="27"/>
      <c r="F70" s="26">
        <f t="shared" si="15"/>
        <v>4.3411637907833688E-3</v>
      </c>
      <c r="G70" s="27">
        <f t="shared" si="8"/>
        <v>0.53742984534374971</v>
      </c>
      <c r="H70" s="28">
        <f t="shared" si="9"/>
        <v>0.99999998260725509</v>
      </c>
      <c r="I70" s="28">
        <f t="shared" si="10"/>
        <v>0.99999945677277813</v>
      </c>
      <c r="J70" s="29">
        <f t="shared" si="11"/>
        <v>0.53743008890448163</v>
      </c>
      <c r="K70" s="28"/>
      <c r="L70" s="28"/>
    </row>
    <row r="71" spans="1:12" x14ac:dyDescent="0.2">
      <c r="A71">
        <f t="shared" si="12"/>
        <v>20</v>
      </c>
      <c r="B71">
        <f t="shared" si="13"/>
        <v>20</v>
      </c>
      <c r="C71" s="26">
        <f t="shared" si="14"/>
        <v>0.10536484321338371</v>
      </c>
      <c r="D71" s="27">
        <f t="shared" si="7"/>
        <v>9.3568692392499223E-2</v>
      </c>
      <c r="E71" s="27"/>
      <c r="F71" s="26">
        <f t="shared" si="15"/>
        <v>4.3411637907833688E-3</v>
      </c>
      <c r="G71" s="27">
        <f t="shared" si="8"/>
        <v>0.53742984534374971</v>
      </c>
      <c r="H71" s="28">
        <f t="shared" si="9"/>
        <v>0.99999998260725509</v>
      </c>
      <c r="I71" s="28">
        <f t="shared" si="10"/>
        <v>0.99999945677277813</v>
      </c>
      <c r="J71" s="29">
        <f t="shared" si="11"/>
        <v>0.53743008890448163</v>
      </c>
      <c r="K71" s="28"/>
      <c r="L71" s="28"/>
    </row>
    <row r="72" spans="1:12" x14ac:dyDescent="0.2">
      <c r="A72">
        <f t="shared" si="12"/>
        <v>20</v>
      </c>
      <c r="B72">
        <f t="shared" si="13"/>
        <v>20</v>
      </c>
      <c r="C72" s="26">
        <f t="shared" si="14"/>
        <v>0.10536484321338371</v>
      </c>
      <c r="D72" s="27">
        <f t="shared" si="7"/>
        <v>9.3568692392499223E-2</v>
      </c>
      <c r="E72" s="27"/>
      <c r="F72" s="26">
        <f t="shared" si="15"/>
        <v>4.3411637907833688E-3</v>
      </c>
      <c r="G72" s="27">
        <f t="shared" si="8"/>
        <v>0.53742984534374971</v>
      </c>
      <c r="H72" s="28">
        <f t="shared" si="9"/>
        <v>0.99999998260725509</v>
      </c>
      <c r="I72" s="28">
        <f t="shared" si="10"/>
        <v>0.99999945677277813</v>
      </c>
      <c r="J72" s="29">
        <f t="shared" si="11"/>
        <v>0.53743008890448163</v>
      </c>
      <c r="K72" s="28"/>
      <c r="L72" s="28"/>
    </row>
    <row r="73" spans="1:12" x14ac:dyDescent="0.2">
      <c r="A73">
        <f t="shared" si="12"/>
        <v>20</v>
      </c>
      <c r="B73">
        <f t="shared" si="13"/>
        <v>20</v>
      </c>
      <c r="C73" s="26">
        <f t="shared" si="14"/>
        <v>0.10536484321338371</v>
      </c>
      <c r="D73" s="27">
        <f t="shared" si="7"/>
        <v>9.3568692392499223E-2</v>
      </c>
      <c r="E73" s="27"/>
      <c r="F73" s="26">
        <f t="shared" si="15"/>
        <v>4.3411637907833688E-3</v>
      </c>
      <c r="G73" s="27">
        <f t="shared" si="8"/>
        <v>0.53742984534374971</v>
      </c>
      <c r="H73" s="28">
        <f t="shared" si="9"/>
        <v>0.99999998260725509</v>
      </c>
      <c r="I73" s="28">
        <f t="shared" si="10"/>
        <v>0.99999945677277813</v>
      </c>
      <c r="J73" s="29">
        <f t="shared" si="11"/>
        <v>0.53743008890448163</v>
      </c>
      <c r="K73" s="28"/>
      <c r="L73" s="28"/>
    </row>
    <row r="74" spans="1:12" x14ac:dyDescent="0.2">
      <c r="A74">
        <f t="shared" si="12"/>
        <v>20</v>
      </c>
      <c r="B74">
        <f t="shared" si="13"/>
        <v>20</v>
      </c>
      <c r="C74" s="26">
        <f t="shared" si="14"/>
        <v>0.10536484321338371</v>
      </c>
      <c r="D74" s="27">
        <f t="shared" si="7"/>
        <v>9.3568692392499223E-2</v>
      </c>
      <c r="E74" s="27"/>
      <c r="F74" s="26">
        <f t="shared" si="15"/>
        <v>4.3411637907833688E-3</v>
      </c>
      <c r="G74" s="27">
        <f t="shared" si="8"/>
        <v>0.53742984534374971</v>
      </c>
      <c r="H74" s="28">
        <f t="shared" si="9"/>
        <v>0.99999998260725509</v>
      </c>
      <c r="I74" s="28">
        <f t="shared" si="10"/>
        <v>0.99999945677277813</v>
      </c>
      <c r="J74" s="29">
        <f t="shared" si="11"/>
        <v>0.53743008890448163</v>
      </c>
      <c r="K74" s="28"/>
      <c r="L74" s="28"/>
    </row>
    <row r="75" spans="1:12" x14ac:dyDescent="0.2">
      <c r="A75">
        <f t="shared" si="12"/>
        <v>20</v>
      </c>
      <c r="B75">
        <f t="shared" si="13"/>
        <v>20</v>
      </c>
      <c r="C75" s="26">
        <f t="shared" si="14"/>
        <v>0.10536484321338371</v>
      </c>
      <c r="D75" s="27">
        <f t="shared" si="7"/>
        <v>9.3568692392499223E-2</v>
      </c>
      <c r="E75" s="27"/>
      <c r="F75" s="26">
        <f t="shared" si="15"/>
        <v>4.3411637907833688E-3</v>
      </c>
      <c r="G75" s="27">
        <f t="shared" si="8"/>
        <v>0.53742984534374971</v>
      </c>
      <c r="H75" s="28">
        <f t="shared" si="9"/>
        <v>0.99999998260725509</v>
      </c>
      <c r="I75" s="28">
        <f t="shared" si="10"/>
        <v>0.99999945677277813</v>
      </c>
      <c r="J75" s="29">
        <f t="shared" si="11"/>
        <v>0.53743008890448163</v>
      </c>
      <c r="K75" s="28"/>
      <c r="L75" s="28"/>
    </row>
    <row r="76" spans="1:12" x14ac:dyDescent="0.2">
      <c r="A76">
        <f t="shared" si="12"/>
        <v>20</v>
      </c>
      <c r="B76">
        <f t="shared" si="13"/>
        <v>20</v>
      </c>
      <c r="C76" s="26">
        <f t="shared" si="14"/>
        <v>0.10536484321338371</v>
      </c>
      <c r="D76" s="27">
        <f t="shared" si="7"/>
        <v>9.3568692392499223E-2</v>
      </c>
      <c r="E76" s="27"/>
      <c r="F76" s="26">
        <f t="shared" si="15"/>
        <v>4.3411637907833688E-3</v>
      </c>
      <c r="G76" s="27">
        <f t="shared" si="8"/>
        <v>0.53742984534374971</v>
      </c>
      <c r="H76" s="28">
        <f t="shared" si="9"/>
        <v>0.99999998260725509</v>
      </c>
      <c r="I76" s="28">
        <f t="shared" si="10"/>
        <v>0.99999945677277813</v>
      </c>
      <c r="J76" s="29">
        <f t="shared" si="11"/>
        <v>0.53743008890448163</v>
      </c>
      <c r="K76" s="28"/>
      <c r="L76" s="28"/>
    </row>
    <row r="77" spans="1:12" x14ac:dyDescent="0.2">
      <c r="A77">
        <f t="shared" si="12"/>
        <v>20</v>
      </c>
      <c r="B77">
        <f t="shared" si="13"/>
        <v>20</v>
      </c>
      <c r="C77" s="26">
        <f t="shared" si="14"/>
        <v>0.10536484321338371</v>
      </c>
      <c r="D77" s="27">
        <f t="shared" si="7"/>
        <v>9.3568692392499223E-2</v>
      </c>
      <c r="E77" s="27"/>
      <c r="F77" s="26">
        <f t="shared" si="15"/>
        <v>4.3411637907833688E-3</v>
      </c>
      <c r="G77" s="27">
        <f t="shared" si="8"/>
        <v>0.53742984534374971</v>
      </c>
      <c r="H77" s="28">
        <f t="shared" si="9"/>
        <v>0.99999998260725509</v>
      </c>
      <c r="I77" s="28">
        <f t="shared" si="10"/>
        <v>0.99999945677277813</v>
      </c>
      <c r="J77" s="29">
        <f t="shared" si="11"/>
        <v>0.53743008890448163</v>
      </c>
      <c r="K77" s="28"/>
      <c r="L77" s="28"/>
    </row>
    <row r="78" spans="1:12" x14ac:dyDescent="0.2">
      <c r="A78">
        <f t="shared" si="12"/>
        <v>20</v>
      </c>
      <c r="B78">
        <f t="shared" si="13"/>
        <v>20</v>
      </c>
      <c r="C78" s="26">
        <f t="shared" si="14"/>
        <v>0.10536484321338371</v>
      </c>
      <c r="D78" s="27">
        <f t="shared" si="7"/>
        <v>9.3568692392499223E-2</v>
      </c>
      <c r="E78" s="27"/>
      <c r="F78" s="26">
        <f t="shared" si="15"/>
        <v>4.3411637907833688E-3</v>
      </c>
      <c r="G78" s="27">
        <f t="shared" si="8"/>
        <v>0.53742984534374971</v>
      </c>
      <c r="H78" s="28">
        <f t="shared" si="9"/>
        <v>0.99999998260725509</v>
      </c>
      <c r="I78" s="28">
        <f t="shared" si="10"/>
        <v>0.99999945677277813</v>
      </c>
      <c r="J78" s="29">
        <f t="shared" si="11"/>
        <v>0.53743008890448163</v>
      </c>
      <c r="K78" s="28"/>
      <c r="L78" s="28"/>
    </row>
    <row r="79" spans="1:12" x14ac:dyDescent="0.2">
      <c r="A79">
        <f t="shared" si="12"/>
        <v>20</v>
      </c>
      <c r="B79">
        <f t="shared" si="13"/>
        <v>20</v>
      </c>
      <c r="C79" s="26">
        <f t="shared" si="14"/>
        <v>0.10536484321338371</v>
      </c>
      <c r="D79" s="27">
        <f t="shared" si="7"/>
        <v>9.3568692392499223E-2</v>
      </c>
      <c r="E79" s="27"/>
      <c r="F79" s="26">
        <f t="shared" si="15"/>
        <v>4.3411637907833688E-3</v>
      </c>
      <c r="G79" s="27">
        <f t="shared" si="8"/>
        <v>0.53742984534374971</v>
      </c>
      <c r="H79" s="28">
        <f t="shared" si="9"/>
        <v>0.99999998260725509</v>
      </c>
      <c r="I79" s="28">
        <f t="shared" si="10"/>
        <v>0.99999945677277813</v>
      </c>
      <c r="J79" s="29">
        <f t="shared" si="11"/>
        <v>0.53743008890448163</v>
      </c>
      <c r="K79" s="28"/>
      <c r="L79" s="28"/>
    </row>
    <row r="80" spans="1:12" x14ac:dyDescent="0.2">
      <c r="A80">
        <f t="shared" si="12"/>
        <v>20</v>
      </c>
      <c r="B80">
        <f t="shared" si="13"/>
        <v>20</v>
      </c>
      <c r="C80" s="26">
        <f t="shared" si="14"/>
        <v>0.10536484321338371</v>
      </c>
      <c r="D80" s="27">
        <f t="shared" si="7"/>
        <v>9.3568692392499223E-2</v>
      </c>
      <c r="E80" s="27"/>
      <c r="F80" s="26">
        <f t="shared" si="15"/>
        <v>4.3411637907833688E-3</v>
      </c>
      <c r="G80" s="27">
        <f t="shared" si="8"/>
        <v>0.53742984534374971</v>
      </c>
      <c r="H80" s="28">
        <f t="shared" si="9"/>
        <v>0.99999998260725509</v>
      </c>
      <c r="I80" s="28">
        <f t="shared" si="10"/>
        <v>0.99999945677277813</v>
      </c>
      <c r="J80" s="29">
        <f t="shared" si="11"/>
        <v>0.53743008890448163</v>
      </c>
      <c r="K80" s="28"/>
      <c r="L80" s="28"/>
    </row>
    <row r="81" spans="1:12" x14ac:dyDescent="0.2">
      <c r="A81">
        <f t="shared" si="12"/>
        <v>20</v>
      </c>
      <c r="B81">
        <f t="shared" si="13"/>
        <v>20</v>
      </c>
      <c r="C81" s="26">
        <f t="shared" si="14"/>
        <v>0.10536484321338371</v>
      </c>
      <c r="D81" s="27">
        <f t="shared" si="7"/>
        <v>9.3568692392499223E-2</v>
      </c>
      <c r="E81" s="27"/>
      <c r="F81" s="26">
        <f t="shared" si="15"/>
        <v>4.3411637907833688E-3</v>
      </c>
      <c r="G81" s="27">
        <f t="shared" si="8"/>
        <v>0.53742984534374971</v>
      </c>
      <c r="H81" s="28">
        <f t="shared" si="9"/>
        <v>0.99999998260725509</v>
      </c>
      <c r="I81" s="28">
        <f t="shared" si="10"/>
        <v>0.99999945677277813</v>
      </c>
      <c r="J81" s="29">
        <f t="shared" si="11"/>
        <v>0.53743008890448163</v>
      </c>
      <c r="K81" s="28"/>
      <c r="L81" s="28"/>
    </row>
    <row r="82" spans="1:12" x14ac:dyDescent="0.2">
      <c r="A82">
        <f t="shared" si="12"/>
        <v>20</v>
      </c>
      <c r="B82">
        <f t="shared" si="13"/>
        <v>20</v>
      </c>
      <c r="C82" s="26">
        <f t="shared" si="14"/>
        <v>0.10536484321338371</v>
      </c>
      <c r="D82" s="27">
        <f t="shared" si="7"/>
        <v>9.3568692392499223E-2</v>
      </c>
      <c r="E82" s="27"/>
      <c r="F82" s="26">
        <f t="shared" si="15"/>
        <v>4.3411637907833688E-3</v>
      </c>
      <c r="G82" s="27">
        <f t="shared" si="8"/>
        <v>0.53742984534374971</v>
      </c>
      <c r="H82" s="28">
        <f t="shared" si="9"/>
        <v>0.99999998260725509</v>
      </c>
      <c r="I82" s="28">
        <f t="shared" si="10"/>
        <v>0.99999945677277813</v>
      </c>
      <c r="J82" s="29">
        <f t="shared" si="11"/>
        <v>0.53743008890448163</v>
      </c>
      <c r="K82" s="28"/>
      <c r="L82" s="28"/>
    </row>
    <row r="83" spans="1:12" x14ac:dyDescent="0.2">
      <c r="A83">
        <f t="shared" si="12"/>
        <v>20</v>
      </c>
      <c r="B83">
        <f t="shared" si="13"/>
        <v>20</v>
      </c>
      <c r="C83" s="26">
        <f t="shared" si="14"/>
        <v>0.10536484321338371</v>
      </c>
      <c r="D83" s="27">
        <f t="shared" si="7"/>
        <v>9.3568692392499223E-2</v>
      </c>
      <c r="E83" s="27"/>
      <c r="F83" s="26">
        <f t="shared" si="15"/>
        <v>4.3411637907833688E-3</v>
      </c>
      <c r="G83" s="27">
        <f t="shared" si="8"/>
        <v>0.53742984534374971</v>
      </c>
      <c r="H83" s="28">
        <f t="shared" si="9"/>
        <v>0.99999998260725509</v>
      </c>
      <c r="I83" s="28">
        <f t="shared" si="10"/>
        <v>0.99999945677277813</v>
      </c>
      <c r="J83" s="29">
        <f t="shared" si="11"/>
        <v>0.53743008890448163</v>
      </c>
      <c r="K83" s="28"/>
      <c r="L83" s="28"/>
    </row>
    <row r="84" spans="1:12" x14ac:dyDescent="0.2">
      <c r="A84">
        <f t="shared" si="12"/>
        <v>20</v>
      </c>
      <c r="B84">
        <f t="shared" si="13"/>
        <v>20</v>
      </c>
      <c r="C84" s="26">
        <f t="shared" si="14"/>
        <v>0.10536484321338371</v>
      </c>
      <c r="D84" s="27">
        <f t="shared" si="7"/>
        <v>9.3568692392499223E-2</v>
      </c>
      <c r="E84" s="27"/>
      <c r="F84" s="26">
        <f t="shared" si="15"/>
        <v>4.3411637907833688E-3</v>
      </c>
      <c r="G84" s="27">
        <f t="shared" si="8"/>
        <v>0.53742984534374971</v>
      </c>
      <c r="H84" s="28">
        <f t="shared" si="9"/>
        <v>0.99999998260725509</v>
      </c>
      <c r="I84" s="28">
        <f t="shared" si="10"/>
        <v>0.99999945677277813</v>
      </c>
      <c r="J84" s="29">
        <f t="shared" si="11"/>
        <v>0.53743008890448163</v>
      </c>
      <c r="K84" s="28"/>
      <c r="L84" s="28"/>
    </row>
    <row r="85" spans="1:12" x14ac:dyDescent="0.2">
      <c r="A85">
        <f t="shared" si="12"/>
        <v>20</v>
      </c>
      <c r="B85">
        <f t="shared" si="13"/>
        <v>20</v>
      </c>
      <c r="C85" s="26">
        <f t="shared" si="14"/>
        <v>0.10536484321338371</v>
      </c>
      <c r="D85" s="27">
        <f t="shared" si="7"/>
        <v>9.3568692392499223E-2</v>
      </c>
      <c r="E85" s="27"/>
      <c r="F85" s="26">
        <f t="shared" si="15"/>
        <v>4.3411637907833688E-3</v>
      </c>
      <c r="G85" s="27">
        <f t="shared" si="8"/>
        <v>0.53742984534374971</v>
      </c>
      <c r="H85" s="28">
        <f t="shared" si="9"/>
        <v>0.99999998260725509</v>
      </c>
      <c r="I85" s="28">
        <f t="shared" si="10"/>
        <v>0.99999945677277813</v>
      </c>
      <c r="J85" s="29">
        <f t="shared" si="11"/>
        <v>0.53743008890448163</v>
      </c>
      <c r="K85" s="28"/>
      <c r="L85" s="28"/>
    </row>
    <row r="86" spans="1:12" x14ac:dyDescent="0.2">
      <c r="A86">
        <f t="shared" si="12"/>
        <v>20</v>
      </c>
      <c r="B86">
        <f t="shared" si="13"/>
        <v>20</v>
      </c>
      <c r="C86" s="26">
        <f t="shared" si="14"/>
        <v>0.10536484321338371</v>
      </c>
      <c r="D86" s="27">
        <f t="shared" si="7"/>
        <v>9.3568692392499223E-2</v>
      </c>
      <c r="E86" s="27"/>
      <c r="F86" s="26">
        <f t="shared" si="15"/>
        <v>4.3411637907833688E-3</v>
      </c>
      <c r="G86" s="27">
        <f t="shared" si="8"/>
        <v>0.53742984534374971</v>
      </c>
      <c r="H86" s="28">
        <f t="shared" si="9"/>
        <v>0.99999998260725509</v>
      </c>
      <c r="I86" s="28">
        <f t="shared" si="10"/>
        <v>0.99999945677277813</v>
      </c>
      <c r="J86" s="29">
        <f t="shared" si="11"/>
        <v>0.53743008890448163</v>
      </c>
      <c r="K86" s="28"/>
      <c r="L86" s="28"/>
    </row>
    <row r="87" spans="1:12" x14ac:dyDescent="0.2">
      <c r="A87">
        <f t="shared" si="12"/>
        <v>20</v>
      </c>
      <c r="B87">
        <f t="shared" si="13"/>
        <v>20</v>
      </c>
      <c r="C87" s="26">
        <f t="shared" si="14"/>
        <v>0.10536484321338371</v>
      </c>
      <c r="D87" s="27">
        <f t="shared" si="7"/>
        <v>9.3568692392499223E-2</v>
      </c>
      <c r="E87" s="27"/>
      <c r="F87" s="26">
        <f t="shared" si="15"/>
        <v>4.3411637907833688E-3</v>
      </c>
      <c r="G87" s="27">
        <f t="shared" si="8"/>
        <v>0.53742984534374971</v>
      </c>
      <c r="H87" s="28">
        <f t="shared" si="9"/>
        <v>0.99999998260725509</v>
      </c>
      <c r="I87" s="28">
        <f t="shared" si="10"/>
        <v>0.99999945677277813</v>
      </c>
      <c r="J87" s="29">
        <f t="shared" si="11"/>
        <v>0.53743008890448163</v>
      </c>
      <c r="K87" s="28"/>
      <c r="L87" s="28"/>
    </row>
    <row r="88" spans="1:12" x14ac:dyDescent="0.2">
      <c r="A88">
        <f t="shared" si="12"/>
        <v>20</v>
      </c>
      <c r="B88">
        <f t="shared" si="13"/>
        <v>20</v>
      </c>
      <c r="C88" s="26">
        <f t="shared" si="14"/>
        <v>0.10536484321338371</v>
      </c>
      <c r="D88" s="27">
        <f t="shared" si="7"/>
        <v>9.3568692392499223E-2</v>
      </c>
      <c r="E88" s="27"/>
      <c r="F88" s="26">
        <f t="shared" si="15"/>
        <v>4.3411637907833688E-3</v>
      </c>
      <c r="G88" s="27">
        <f t="shared" si="8"/>
        <v>0.53742984534374971</v>
      </c>
      <c r="H88" s="28">
        <f t="shared" si="9"/>
        <v>0.99999998260725509</v>
      </c>
      <c r="I88" s="28">
        <f t="shared" si="10"/>
        <v>0.99999945677277813</v>
      </c>
      <c r="J88" s="29">
        <f t="shared" si="11"/>
        <v>0.53743008890448163</v>
      </c>
      <c r="K88" s="28"/>
      <c r="L88" s="28"/>
    </row>
    <row r="89" spans="1:12" x14ac:dyDescent="0.2">
      <c r="A89">
        <f t="shared" si="12"/>
        <v>20</v>
      </c>
      <c r="B89">
        <f t="shared" si="13"/>
        <v>20</v>
      </c>
      <c r="C89" s="26">
        <f t="shared" si="14"/>
        <v>0.10536484321338371</v>
      </c>
      <c r="D89" s="27">
        <f t="shared" si="7"/>
        <v>9.3568692392499223E-2</v>
      </c>
      <c r="E89" s="27"/>
      <c r="F89" s="26">
        <f t="shared" si="15"/>
        <v>4.3411637907833688E-3</v>
      </c>
      <c r="G89" s="27">
        <f t="shared" si="8"/>
        <v>0.53742984534374971</v>
      </c>
      <c r="H89" s="28">
        <f t="shared" si="9"/>
        <v>0.99999998260725509</v>
      </c>
      <c r="I89" s="28">
        <f t="shared" si="10"/>
        <v>0.99999945677277813</v>
      </c>
      <c r="J89" s="29">
        <f t="shared" si="11"/>
        <v>0.53743008890448163</v>
      </c>
      <c r="K89" s="28"/>
      <c r="L89" s="28"/>
    </row>
    <row r="90" spans="1:12" x14ac:dyDescent="0.2">
      <c r="A90">
        <f t="shared" si="12"/>
        <v>20</v>
      </c>
      <c r="B90">
        <f t="shared" ref="B90:B121" si="16">A90+$C$16*$C$17</f>
        <v>20</v>
      </c>
      <c r="C90" s="26">
        <f t="shared" ref="C90:C121" si="17">EXP(-(($B90-$E$7)^2/$E$9))</f>
        <v>0.10536484321338371</v>
      </c>
      <c r="D90" s="27">
        <f t="shared" si="7"/>
        <v>9.3568692392499223E-2</v>
      </c>
      <c r="E90" s="27"/>
      <c r="F90" s="26">
        <f t="shared" ref="F90:F121" si="18">EXP(-(($B90-$E$8)^2/$E$10))</f>
        <v>4.3411637907833688E-3</v>
      </c>
      <c r="G90" s="27">
        <f t="shared" si="8"/>
        <v>0.53742984534374971</v>
      </c>
      <c r="H90" s="28">
        <f t="shared" si="9"/>
        <v>0.99999998260725509</v>
      </c>
      <c r="I90" s="28">
        <f t="shared" si="10"/>
        <v>0.99999945677277813</v>
      </c>
      <c r="J90" s="29">
        <f t="shared" si="11"/>
        <v>0.53743008890448163</v>
      </c>
      <c r="K90" s="28"/>
      <c r="L90" s="28"/>
    </row>
    <row r="91" spans="1:12" x14ac:dyDescent="0.2">
      <c r="A91">
        <f t="shared" si="12"/>
        <v>20</v>
      </c>
      <c r="B91">
        <f t="shared" si="16"/>
        <v>20</v>
      </c>
      <c r="C91" s="26">
        <f t="shared" si="17"/>
        <v>0.10536484321338371</v>
      </c>
      <c r="D91" s="27">
        <f t="shared" ref="D91:D150" si="19">IF(C$11&gt;-999,($E$11+(1-$E$11)*(C91-$D$20)/($D$21-$D$20)),C91)</f>
        <v>9.3568692392499223E-2</v>
      </c>
      <c r="E91" s="27"/>
      <c r="F91" s="26">
        <f t="shared" si="18"/>
        <v>4.3411637907833688E-3</v>
      </c>
      <c r="G91" s="27">
        <f t="shared" ref="G91:G150" si="20">IF(C$12&gt;-999,(1+($E$12-1)*(F91-$G$22)/($G$23-$G$22)),F91)</f>
        <v>0.53742984534374971</v>
      </c>
      <c r="H91" s="28">
        <f t="shared" ref="H91:H150" si="21">1/(1+EXP(-($H$24*($B91-$E$7)/(1+ABS($B91-$E$7)))))</f>
        <v>0.99999998260725509</v>
      </c>
      <c r="I91" s="28">
        <f t="shared" ref="I91:I150" si="22">1/(1+EXP(-($I$24*($B91-$E$8)/(1+ABS($B91-$E$8)))))</f>
        <v>0.99999945677277813</v>
      </c>
      <c r="J91" s="29">
        <f t="shared" ref="J91:J150" si="23">IF(A91&gt;$H$15,(D91*(1-H91)+H91*(1*(1-I91)+G91*I91)),0.000001)</f>
        <v>0.53743008890448163</v>
      </c>
      <c r="K91" s="28"/>
      <c r="L91" s="28"/>
    </row>
    <row r="92" spans="1:12" x14ac:dyDescent="0.2">
      <c r="A92">
        <f t="shared" ref="A92:A152" si="24">IF(A91&lt;$C$15-$C$16,A91+$C$16,$C$15)</f>
        <v>20</v>
      </c>
      <c r="B92">
        <f t="shared" si="16"/>
        <v>20</v>
      </c>
      <c r="C92" s="26">
        <f t="shared" si="17"/>
        <v>0.10536484321338371</v>
      </c>
      <c r="D92" s="27">
        <f t="shared" si="19"/>
        <v>9.3568692392499223E-2</v>
      </c>
      <c r="E92" s="27"/>
      <c r="F92" s="26">
        <f t="shared" si="18"/>
        <v>4.3411637907833688E-3</v>
      </c>
      <c r="G92" s="27">
        <f t="shared" si="20"/>
        <v>0.53742984534374971</v>
      </c>
      <c r="H92" s="28">
        <f t="shared" si="21"/>
        <v>0.99999998260725509</v>
      </c>
      <c r="I92" s="28">
        <f t="shared" si="22"/>
        <v>0.99999945677277813</v>
      </c>
      <c r="J92" s="29">
        <f t="shared" si="23"/>
        <v>0.53743008890448163</v>
      </c>
      <c r="K92" s="28"/>
      <c r="L92" s="28"/>
    </row>
    <row r="93" spans="1:12" x14ac:dyDescent="0.2">
      <c r="A93">
        <f t="shared" si="24"/>
        <v>20</v>
      </c>
      <c r="B93">
        <f t="shared" si="16"/>
        <v>20</v>
      </c>
      <c r="C93" s="26">
        <f t="shared" si="17"/>
        <v>0.10536484321338371</v>
      </c>
      <c r="D93" s="27">
        <f t="shared" si="19"/>
        <v>9.3568692392499223E-2</v>
      </c>
      <c r="E93" s="27"/>
      <c r="F93" s="26">
        <f t="shared" si="18"/>
        <v>4.3411637907833688E-3</v>
      </c>
      <c r="G93" s="27">
        <f t="shared" si="20"/>
        <v>0.53742984534374971</v>
      </c>
      <c r="H93" s="28">
        <f t="shared" si="21"/>
        <v>0.99999998260725509</v>
      </c>
      <c r="I93" s="28">
        <f t="shared" si="22"/>
        <v>0.99999945677277813</v>
      </c>
      <c r="J93" s="29">
        <f t="shared" si="23"/>
        <v>0.53743008890448163</v>
      </c>
      <c r="K93" s="28"/>
      <c r="L93" s="28"/>
    </row>
    <row r="94" spans="1:12" x14ac:dyDescent="0.2">
      <c r="A94">
        <f t="shared" si="24"/>
        <v>20</v>
      </c>
      <c r="B94">
        <f t="shared" si="16"/>
        <v>20</v>
      </c>
      <c r="C94" s="26">
        <f t="shared" si="17"/>
        <v>0.10536484321338371</v>
      </c>
      <c r="D94" s="27">
        <f t="shared" si="19"/>
        <v>9.3568692392499223E-2</v>
      </c>
      <c r="E94" s="27"/>
      <c r="F94" s="26">
        <f t="shared" si="18"/>
        <v>4.3411637907833688E-3</v>
      </c>
      <c r="G94" s="27">
        <f t="shared" si="20"/>
        <v>0.53742984534374971</v>
      </c>
      <c r="H94" s="28">
        <f t="shared" si="21"/>
        <v>0.99999998260725509</v>
      </c>
      <c r="I94" s="28">
        <f t="shared" si="22"/>
        <v>0.99999945677277813</v>
      </c>
      <c r="J94" s="29">
        <f t="shared" si="23"/>
        <v>0.53743008890448163</v>
      </c>
      <c r="K94" s="28"/>
      <c r="L94" s="28"/>
    </row>
    <row r="95" spans="1:12" x14ac:dyDescent="0.2">
      <c r="A95">
        <f t="shared" si="24"/>
        <v>20</v>
      </c>
      <c r="B95">
        <f t="shared" si="16"/>
        <v>20</v>
      </c>
      <c r="C95" s="26">
        <f t="shared" si="17"/>
        <v>0.10536484321338371</v>
      </c>
      <c r="D95" s="27">
        <f t="shared" si="19"/>
        <v>9.3568692392499223E-2</v>
      </c>
      <c r="E95" s="27"/>
      <c r="F95" s="26">
        <f t="shared" si="18"/>
        <v>4.3411637907833688E-3</v>
      </c>
      <c r="G95" s="27">
        <f t="shared" si="20"/>
        <v>0.53742984534374971</v>
      </c>
      <c r="H95" s="28">
        <f t="shared" si="21"/>
        <v>0.99999998260725509</v>
      </c>
      <c r="I95" s="28">
        <f t="shared" si="22"/>
        <v>0.99999945677277813</v>
      </c>
      <c r="J95" s="29">
        <f t="shared" si="23"/>
        <v>0.53743008890448163</v>
      </c>
      <c r="K95" s="28"/>
      <c r="L95" s="28"/>
    </row>
    <row r="96" spans="1:12" x14ac:dyDescent="0.2">
      <c r="A96">
        <f t="shared" si="24"/>
        <v>20</v>
      </c>
      <c r="B96">
        <f t="shared" si="16"/>
        <v>20</v>
      </c>
      <c r="C96" s="26">
        <f t="shared" si="17"/>
        <v>0.10536484321338371</v>
      </c>
      <c r="D96" s="27">
        <f t="shared" si="19"/>
        <v>9.3568692392499223E-2</v>
      </c>
      <c r="E96" s="27"/>
      <c r="F96" s="26">
        <f t="shared" si="18"/>
        <v>4.3411637907833688E-3</v>
      </c>
      <c r="G96" s="27">
        <f t="shared" si="20"/>
        <v>0.53742984534374971</v>
      </c>
      <c r="H96" s="28">
        <f t="shared" si="21"/>
        <v>0.99999998260725509</v>
      </c>
      <c r="I96" s="28">
        <f t="shared" si="22"/>
        <v>0.99999945677277813</v>
      </c>
      <c r="J96" s="29">
        <f t="shared" si="23"/>
        <v>0.53743008890448163</v>
      </c>
      <c r="K96" s="28"/>
      <c r="L96" s="28"/>
    </row>
    <row r="97" spans="1:12" x14ac:dyDescent="0.2">
      <c r="A97">
        <f t="shared" si="24"/>
        <v>20</v>
      </c>
      <c r="B97">
        <f t="shared" si="16"/>
        <v>20</v>
      </c>
      <c r="C97" s="26">
        <f t="shared" si="17"/>
        <v>0.10536484321338371</v>
      </c>
      <c r="D97" s="27">
        <f t="shared" si="19"/>
        <v>9.3568692392499223E-2</v>
      </c>
      <c r="E97" s="27"/>
      <c r="F97" s="26">
        <f t="shared" si="18"/>
        <v>4.3411637907833688E-3</v>
      </c>
      <c r="G97" s="27">
        <f t="shared" si="20"/>
        <v>0.53742984534374971</v>
      </c>
      <c r="H97" s="28">
        <f t="shared" si="21"/>
        <v>0.99999998260725509</v>
      </c>
      <c r="I97" s="28">
        <f t="shared" si="22"/>
        <v>0.99999945677277813</v>
      </c>
      <c r="J97" s="29">
        <f t="shared" si="23"/>
        <v>0.53743008890448163</v>
      </c>
      <c r="K97" s="28"/>
      <c r="L97" s="28"/>
    </row>
    <row r="98" spans="1:12" x14ac:dyDescent="0.2">
      <c r="A98">
        <f t="shared" si="24"/>
        <v>20</v>
      </c>
      <c r="B98">
        <f t="shared" si="16"/>
        <v>20</v>
      </c>
      <c r="C98" s="26">
        <f t="shared" si="17"/>
        <v>0.10536484321338371</v>
      </c>
      <c r="D98" s="27">
        <f t="shared" si="19"/>
        <v>9.3568692392499223E-2</v>
      </c>
      <c r="E98" s="27"/>
      <c r="F98" s="26">
        <f t="shared" si="18"/>
        <v>4.3411637907833688E-3</v>
      </c>
      <c r="G98" s="27">
        <f t="shared" si="20"/>
        <v>0.53742984534374971</v>
      </c>
      <c r="H98" s="28">
        <f t="shared" si="21"/>
        <v>0.99999998260725509</v>
      </c>
      <c r="I98" s="28">
        <f t="shared" si="22"/>
        <v>0.99999945677277813</v>
      </c>
      <c r="J98" s="29">
        <f t="shared" si="23"/>
        <v>0.53743008890448163</v>
      </c>
      <c r="K98" s="28"/>
      <c r="L98" s="28"/>
    </row>
    <row r="99" spans="1:12" x14ac:dyDescent="0.2">
      <c r="A99">
        <f t="shared" si="24"/>
        <v>20</v>
      </c>
      <c r="B99">
        <f t="shared" si="16"/>
        <v>20</v>
      </c>
      <c r="C99" s="26">
        <f t="shared" si="17"/>
        <v>0.10536484321338371</v>
      </c>
      <c r="D99" s="27">
        <f t="shared" si="19"/>
        <v>9.3568692392499223E-2</v>
      </c>
      <c r="E99" s="27"/>
      <c r="F99" s="26">
        <f t="shared" si="18"/>
        <v>4.3411637907833688E-3</v>
      </c>
      <c r="G99" s="27">
        <f t="shared" si="20"/>
        <v>0.53742984534374971</v>
      </c>
      <c r="H99" s="28">
        <f t="shared" si="21"/>
        <v>0.99999998260725509</v>
      </c>
      <c r="I99" s="28">
        <f t="shared" si="22"/>
        <v>0.99999945677277813</v>
      </c>
      <c r="J99" s="29">
        <f t="shared" si="23"/>
        <v>0.53743008890448163</v>
      </c>
      <c r="K99" s="28"/>
      <c r="L99" s="28"/>
    </row>
    <row r="100" spans="1:12" x14ac:dyDescent="0.2">
      <c r="A100">
        <f t="shared" si="24"/>
        <v>20</v>
      </c>
      <c r="B100">
        <f t="shared" si="16"/>
        <v>20</v>
      </c>
      <c r="C100" s="26">
        <f t="shared" si="17"/>
        <v>0.10536484321338371</v>
      </c>
      <c r="D100" s="27">
        <f t="shared" si="19"/>
        <v>9.3568692392499223E-2</v>
      </c>
      <c r="E100" s="27"/>
      <c r="F100" s="26">
        <f t="shared" si="18"/>
        <v>4.3411637907833688E-3</v>
      </c>
      <c r="G100" s="27">
        <f t="shared" si="20"/>
        <v>0.53742984534374971</v>
      </c>
      <c r="H100" s="28">
        <f t="shared" si="21"/>
        <v>0.99999998260725509</v>
      </c>
      <c r="I100" s="28">
        <f t="shared" si="22"/>
        <v>0.99999945677277813</v>
      </c>
      <c r="J100" s="29">
        <f t="shared" si="23"/>
        <v>0.53743008890448163</v>
      </c>
      <c r="K100" s="28"/>
      <c r="L100" s="28"/>
    </row>
    <row r="101" spans="1:12" x14ac:dyDescent="0.2">
      <c r="A101">
        <f t="shared" si="24"/>
        <v>20</v>
      </c>
      <c r="B101">
        <f t="shared" si="16"/>
        <v>20</v>
      </c>
      <c r="C101" s="26">
        <f t="shared" si="17"/>
        <v>0.10536484321338371</v>
      </c>
      <c r="D101" s="27">
        <f t="shared" si="19"/>
        <v>9.3568692392499223E-2</v>
      </c>
      <c r="E101" s="27"/>
      <c r="F101" s="26">
        <f t="shared" si="18"/>
        <v>4.3411637907833688E-3</v>
      </c>
      <c r="G101" s="27">
        <f t="shared" si="20"/>
        <v>0.53742984534374971</v>
      </c>
      <c r="H101" s="28">
        <f t="shared" si="21"/>
        <v>0.99999998260725509</v>
      </c>
      <c r="I101" s="28">
        <f t="shared" si="22"/>
        <v>0.99999945677277813</v>
      </c>
      <c r="J101" s="29">
        <f t="shared" si="23"/>
        <v>0.53743008890448163</v>
      </c>
      <c r="K101" s="28"/>
      <c r="L101" s="28"/>
    </row>
    <row r="102" spans="1:12" x14ac:dyDescent="0.2">
      <c r="A102">
        <f t="shared" si="24"/>
        <v>20</v>
      </c>
      <c r="B102">
        <f t="shared" si="16"/>
        <v>20</v>
      </c>
      <c r="C102" s="26">
        <f t="shared" si="17"/>
        <v>0.10536484321338371</v>
      </c>
      <c r="D102" s="27">
        <f t="shared" si="19"/>
        <v>9.3568692392499223E-2</v>
      </c>
      <c r="E102" s="27"/>
      <c r="F102" s="26">
        <f t="shared" si="18"/>
        <v>4.3411637907833688E-3</v>
      </c>
      <c r="G102" s="27">
        <f t="shared" si="20"/>
        <v>0.53742984534374971</v>
      </c>
      <c r="H102" s="28">
        <f t="shared" si="21"/>
        <v>0.99999998260725509</v>
      </c>
      <c r="I102" s="28">
        <f t="shared" si="22"/>
        <v>0.99999945677277813</v>
      </c>
      <c r="J102" s="29">
        <f t="shared" si="23"/>
        <v>0.53743008890448163</v>
      </c>
      <c r="K102" s="28"/>
      <c r="L102" s="28"/>
    </row>
    <row r="103" spans="1:12" x14ac:dyDescent="0.2">
      <c r="A103">
        <f t="shared" si="24"/>
        <v>20</v>
      </c>
      <c r="B103">
        <f t="shared" si="16"/>
        <v>20</v>
      </c>
      <c r="C103" s="26">
        <f t="shared" si="17"/>
        <v>0.10536484321338371</v>
      </c>
      <c r="D103" s="27">
        <f t="shared" si="19"/>
        <v>9.3568692392499223E-2</v>
      </c>
      <c r="E103" s="27"/>
      <c r="F103" s="26">
        <f t="shared" si="18"/>
        <v>4.3411637907833688E-3</v>
      </c>
      <c r="G103" s="27">
        <f t="shared" si="20"/>
        <v>0.53742984534374971</v>
      </c>
      <c r="H103" s="28">
        <f t="shared" si="21"/>
        <v>0.99999998260725509</v>
      </c>
      <c r="I103" s="28">
        <f t="shared" si="22"/>
        <v>0.99999945677277813</v>
      </c>
      <c r="J103" s="29">
        <f t="shared" si="23"/>
        <v>0.53743008890448163</v>
      </c>
      <c r="K103" s="28"/>
      <c r="L103" s="28"/>
    </row>
    <row r="104" spans="1:12" x14ac:dyDescent="0.2">
      <c r="A104">
        <f t="shared" si="24"/>
        <v>20</v>
      </c>
      <c r="B104">
        <f t="shared" si="16"/>
        <v>20</v>
      </c>
      <c r="C104" s="26">
        <f t="shared" si="17"/>
        <v>0.10536484321338371</v>
      </c>
      <c r="D104" s="27">
        <f t="shared" si="19"/>
        <v>9.3568692392499223E-2</v>
      </c>
      <c r="E104" s="27"/>
      <c r="F104" s="26">
        <f t="shared" si="18"/>
        <v>4.3411637907833688E-3</v>
      </c>
      <c r="G104" s="27">
        <f t="shared" si="20"/>
        <v>0.53742984534374971</v>
      </c>
      <c r="H104" s="28">
        <f t="shared" si="21"/>
        <v>0.99999998260725509</v>
      </c>
      <c r="I104" s="28">
        <f t="shared" si="22"/>
        <v>0.99999945677277813</v>
      </c>
      <c r="J104" s="29">
        <f t="shared" si="23"/>
        <v>0.53743008890448163</v>
      </c>
      <c r="K104" s="28"/>
      <c r="L104" s="28"/>
    </row>
    <row r="105" spans="1:12" x14ac:dyDescent="0.2">
      <c r="A105">
        <f t="shared" si="24"/>
        <v>20</v>
      </c>
      <c r="B105">
        <f t="shared" si="16"/>
        <v>20</v>
      </c>
      <c r="C105" s="26">
        <f t="shared" si="17"/>
        <v>0.10536484321338371</v>
      </c>
      <c r="D105" s="27">
        <f t="shared" si="19"/>
        <v>9.3568692392499223E-2</v>
      </c>
      <c r="E105" s="27"/>
      <c r="F105" s="26">
        <f t="shared" si="18"/>
        <v>4.3411637907833688E-3</v>
      </c>
      <c r="G105" s="27">
        <f t="shared" si="20"/>
        <v>0.53742984534374971</v>
      </c>
      <c r="H105" s="28">
        <f t="shared" si="21"/>
        <v>0.99999998260725509</v>
      </c>
      <c r="I105" s="28">
        <f t="shared" si="22"/>
        <v>0.99999945677277813</v>
      </c>
      <c r="J105" s="29">
        <f t="shared" si="23"/>
        <v>0.53743008890448163</v>
      </c>
      <c r="K105" s="28"/>
      <c r="L105" s="28"/>
    </row>
    <row r="106" spans="1:12" x14ac:dyDescent="0.2">
      <c r="A106">
        <f t="shared" si="24"/>
        <v>20</v>
      </c>
      <c r="B106">
        <f t="shared" si="16"/>
        <v>20</v>
      </c>
      <c r="C106" s="26">
        <f t="shared" si="17"/>
        <v>0.10536484321338371</v>
      </c>
      <c r="D106" s="27">
        <f t="shared" si="19"/>
        <v>9.3568692392499223E-2</v>
      </c>
      <c r="E106" s="27"/>
      <c r="F106" s="26">
        <f t="shared" si="18"/>
        <v>4.3411637907833688E-3</v>
      </c>
      <c r="G106" s="27">
        <f t="shared" si="20"/>
        <v>0.53742984534374971</v>
      </c>
      <c r="H106" s="28">
        <f t="shared" si="21"/>
        <v>0.99999998260725509</v>
      </c>
      <c r="I106" s="28">
        <f t="shared" si="22"/>
        <v>0.99999945677277813</v>
      </c>
      <c r="J106" s="29">
        <f t="shared" si="23"/>
        <v>0.53743008890448163</v>
      </c>
      <c r="K106" s="28"/>
      <c r="L106" s="28"/>
    </row>
    <row r="107" spans="1:12" x14ac:dyDescent="0.2">
      <c r="A107">
        <f t="shared" si="24"/>
        <v>20</v>
      </c>
      <c r="B107">
        <f t="shared" si="16"/>
        <v>20</v>
      </c>
      <c r="C107" s="26">
        <f t="shared" si="17"/>
        <v>0.10536484321338371</v>
      </c>
      <c r="D107" s="27">
        <f t="shared" si="19"/>
        <v>9.3568692392499223E-2</v>
      </c>
      <c r="E107" s="27"/>
      <c r="F107" s="26">
        <f t="shared" si="18"/>
        <v>4.3411637907833688E-3</v>
      </c>
      <c r="G107" s="27">
        <f t="shared" si="20"/>
        <v>0.53742984534374971</v>
      </c>
      <c r="H107" s="28">
        <f t="shared" si="21"/>
        <v>0.99999998260725509</v>
      </c>
      <c r="I107" s="28">
        <f t="shared" si="22"/>
        <v>0.99999945677277813</v>
      </c>
      <c r="J107" s="29">
        <f t="shared" si="23"/>
        <v>0.53743008890448163</v>
      </c>
      <c r="K107" s="28"/>
      <c r="L107" s="28"/>
    </row>
    <row r="108" spans="1:12" x14ac:dyDescent="0.2">
      <c r="A108">
        <f t="shared" si="24"/>
        <v>20</v>
      </c>
      <c r="B108">
        <f t="shared" si="16"/>
        <v>20</v>
      </c>
      <c r="C108" s="26">
        <f t="shared" si="17"/>
        <v>0.10536484321338371</v>
      </c>
      <c r="D108" s="27">
        <f t="shared" si="19"/>
        <v>9.3568692392499223E-2</v>
      </c>
      <c r="E108" s="27"/>
      <c r="F108" s="26">
        <f t="shared" si="18"/>
        <v>4.3411637907833688E-3</v>
      </c>
      <c r="G108" s="27">
        <f t="shared" si="20"/>
        <v>0.53742984534374971</v>
      </c>
      <c r="H108" s="28">
        <f t="shared" si="21"/>
        <v>0.99999998260725509</v>
      </c>
      <c r="I108" s="28">
        <f t="shared" si="22"/>
        <v>0.99999945677277813</v>
      </c>
      <c r="J108" s="29">
        <f t="shared" si="23"/>
        <v>0.53743008890448163</v>
      </c>
      <c r="K108" s="28"/>
      <c r="L108" s="28"/>
    </row>
    <row r="109" spans="1:12" x14ac:dyDescent="0.2">
      <c r="A109">
        <f t="shared" si="24"/>
        <v>20</v>
      </c>
      <c r="B109">
        <f t="shared" si="16"/>
        <v>20</v>
      </c>
      <c r="C109" s="26">
        <f t="shared" si="17"/>
        <v>0.10536484321338371</v>
      </c>
      <c r="D109" s="27">
        <f t="shared" si="19"/>
        <v>9.3568692392499223E-2</v>
      </c>
      <c r="E109" s="27"/>
      <c r="F109" s="26">
        <f t="shared" si="18"/>
        <v>4.3411637907833688E-3</v>
      </c>
      <c r="G109" s="27">
        <f t="shared" si="20"/>
        <v>0.53742984534374971</v>
      </c>
      <c r="H109" s="28">
        <f t="shared" si="21"/>
        <v>0.99999998260725509</v>
      </c>
      <c r="I109" s="28">
        <f t="shared" si="22"/>
        <v>0.99999945677277813</v>
      </c>
      <c r="J109" s="29">
        <f t="shared" si="23"/>
        <v>0.53743008890448163</v>
      </c>
      <c r="K109" s="28"/>
      <c r="L109" s="28"/>
    </row>
    <row r="110" spans="1:12" x14ac:dyDescent="0.2">
      <c r="A110">
        <f t="shared" si="24"/>
        <v>20</v>
      </c>
      <c r="B110">
        <f t="shared" si="16"/>
        <v>20</v>
      </c>
      <c r="C110" s="26">
        <f t="shared" si="17"/>
        <v>0.10536484321338371</v>
      </c>
      <c r="D110" s="27">
        <f t="shared" si="19"/>
        <v>9.3568692392499223E-2</v>
      </c>
      <c r="E110" s="27"/>
      <c r="F110" s="26">
        <f t="shared" si="18"/>
        <v>4.3411637907833688E-3</v>
      </c>
      <c r="G110" s="27">
        <f t="shared" si="20"/>
        <v>0.53742984534374971</v>
      </c>
      <c r="H110" s="28">
        <f t="shared" si="21"/>
        <v>0.99999998260725509</v>
      </c>
      <c r="I110" s="28">
        <f t="shared" si="22"/>
        <v>0.99999945677277813</v>
      </c>
      <c r="J110" s="29">
        <f t="shared" si="23"/>
        <v>0.53743008890448163</v>
      </c>
      <c r="K110" s="28"/>
      <c r="L110" s="28"/>
    </row>
    <row r="111" spans="1:12" x14ac:dyDescent="0.2">
      <c r="A111">
        <f t="shared" si="24"/>
        <v>20</v>
      </c>
      <c r="B111">
        <f t="shared" si="16"/>
        <v>20</v>
      </c>
      <c r="C111" s="26">
        <f t="shared" si="17"/>
        <v>0.10536484321338371</v>
      </c>
      <c r="D111" s="27">
        <f t="shared" si="19"/>
        <v>9.3568692392499223E-2</v>
      </c>
      <c r="E111" s="27"/>
      <c r="F111" s="26">
        <f t="shared" si="18"/>
        <v>4.3411637907833688E-3</v>
      </c>
      <c r="G111" s="27">
        <f t="shared" si="20"/>
        <v>0.53742984534374971</v>
      </c>
      <c r="H111" s="28">
        <f t="shared" si="21"/>
        <v>0.99999998260725509</v>
      </c>
      <c r="I111" s="28">
        <f t="shared" si="22"/>
        <v>0.99999945677277813</v>
      </c>
      <c r="J111" s="29">
        <f t="shared" si="23"/>
        <v>0.53743008890448163</v>
      </c>
      <c r="K111" s="28"/>
      <c r="L111" s="28"/>
    </row>
    <row r="112" spans="1:12" x14ac:dyDescent="0.2">
      <c r="A112">
        <f t="shared" si="24"/>
        <v>20</v>
      </c>
      <c r="B112">
        <f t="shared" si="16"/>
        <v>20</v>
      </c>
      <c r="C112" s="26">
        <f t="shared" si="17"/>
        <v>0.10536484321338371</v>
      </c>
      <c r="D112" s="27">
        <f t="shared" si="19"/>
        <v>9.3568692392499223E-2</v>
      </c>
      <c r="E112" s="27"/>
      <c r="F112" s="26">
        <f t="shared" si="18"/>
        <v>4.3411637907833688E-3</v>
      </c>
      <c r="G112" s="27">
        <f t="shared" si="20"/>
        <v>0.53742984534374971</v>
      </c>
      <c r="H112" s="28">
        <f t="shared" si="21"/>
        <v>0.99999998260725509</v>
      </c>
      <c r="I112" s="28">
        <f t="shared" si="22"/>
        <v>0.99999945677277813</v>
      </c>
      <c r="J112" s="29">
        <f t="shared" si="23"/>
        <v>0.53743008890448163</v>
      </c>
      <c r="K112" s="28"/>
      <c r="L112" s="28"/>
    </row>
    <row r="113" spans="1:12" x14ac:dyDescent="0.2">
      <c r="A113">
        <f t="shared" si="24"/>
        <v>20</v>
      </c>
      <c r="B113">
        <f t="shared" si="16"/>
        <v>20</v>
      </c>
      <c r="C113" s="26">
        <f t="shared" si="17"/>
        <v>0.10536484321338371</v>
      </c>
      <c r="D113" s="27">
        <f t="shared" si="19"/>
        <v>9.3568692392499223E-2</v>
      </c>
      <c r="E113" s="27"/>
      <c r="F113" s="26">
        <f t="shared" si="18"/>
        <v>4.3411637907833688E-3</v>
      </c>
      <c r="G113" s="27">
        <f t="shared" si="20"/>
        <v>0.53742984534374971</v>
      </c>
      <c r="H113" s="28">
        <f t="shared" si="21"/>
        <v>0.99999998260725509</v>
      </c>
      <c r="I113" s="28">
        <f t="shared" si="22"/>
        <v>0.99999945677277813</v>
      </c>
      <c r="J113" s="29">
        <f t="shared" si="23"/>
        <v>0.53743008890448163</v>
      </c>
      <c r="K113" s="28"/>
      <c r="L113" s="28"/>
    </row>
    <row r="114" spans="1:12" x14ac:dyDescent="0.2">
      <c r="A114">
        <f t="shared" si="24"/>
        <v>20</v>
      </c>
      <c r="B114">
        <f t="shared" si="16"/>
        <v>20</v>
      </c>
      <c r="C114" s="26">
        <f t="shared" si="17"/>
        <v>0.10536484321338371</v>
      </c>
      <c r="D114" s="27">
        <f t="shared" si="19"/>
        <v>9.3568692392499223E-2</v>
      </c>
      <c r="E114" s="27"/>
      <c r="F114" s="26">
        <f t="shared" si="18"/>
        <v>4.3411637907833688E-3</v>
      </c>
      <c r="G114" s="27">
        <f t="shared" si="20"/>
        <v>0.53742984534374971</v>
      </c>
      <c r="H114" s="28">
        <f t="shared" si="21"/>
        <v>0.99999998260725509</v>
      </c>
      <c r="I114" s="28">
        <f t="shared" si="22"/>
        <v>0.99999945677277813</v>
      </c>
      <c r="J114" s="29">
        <f t="shared" si="23"/>
        <v>0.53743008890448163</v>
      </c>
      <c r="K114" s="28"/>
      <c r="L114" s="28"/>
    </row>
    <row r="115" spans="1:12" x14ac:dyDescent="0.2">
      <c r="A115">
        <f t="shared" si="24"/>
        <v>20</v>
      </c>
      <c r="B115">
        <f t="shared" si="16"/>
        <v>20</v>
      </c>
      <c r="C115" s="26">
        <f t="shared" si="17"/>
        <v>0.10536484321338371</v>
      </c>
      <c r="D115" s="27">
        <f t="shared" si="19"/>
        <v>9.3568692392499223E-2</v>
      </c>
      <c r="E115" s="27"/>
      <c r="F115" s="26">
        <f t="shared" si="18"/>
        <v>4.3411637907833688E-3</v>
      </c>
      <c r="G115" s="27">
        <f t="shared" si="20"/>
        <v>0.53742984534374971</v>
      </c>
      <c r="H115" s="28">
        <f t="shared" si="21"/>
        <v>0.99999998260725509</v>
      </c>
      <c r="I115" s="28">
        <f t="shared" si="22"/>
        <v>0.99999945677277813</v>
      </c>
      <c r="J115" s="29">
        <f t="shared" si="23"/>
        <v>0.53743008890448163</v>
      </c>
      <c r="K115" s="28"/>
      <c r="L115" s="28"/>
    </row>
    <row r="116" spans="1:12" x14ac:dyDescent="0.2">
      <c r="A116">
        <f t="shared" si="24"/>
        <v>20</v>
      </c>
      <c r="B116">
        <f t="shared" si="16"/>
        <v>20</v>
      </c>
      <c r="C116" s="26">
        <f t="shared" si="17"/>
        <v>0.10536484321338371</v>
      </c>
      <c r="D116" s="27">
        <f t="shared" si="19"/>
        <v>9.3568692392499223E-2</v>
      </c>
      <c r="E116" s="27"/>
      <c r="F116" s="26">
        <f t="shared" si="18"/>
        <v>4.3411637907833688E-3</v>
      </c>
      <c r="G116" s="27">
        <f t="shared" si="20"/>
        <v>0.53742984534374971</v>
      </c>
      <c r="H116" s="28">
        <f t="shared" si="21"/>
        <v>0.99999998260725509</v>
      </c>
      <c r="I116" s="28">
        <f t="shared" si="22"/>
        <v>0.99999945677277813</v>
      </c>
      <c r="J116" s="29">
        <f t="shared" si="23"/>
        <v>0.53743008890448163</v>
      </c>
      <c r="K116" s="28"/>
      <c r="L116" s="28"/>
    </row>
    <row r="117" spans="1:12" x14ac:dyDescent="0.2">
      <c r="A117">
        <f t="shared" si="24"/>
        <v>20</v>
      </c>
      <c r="B117">
        <f t="shared" si="16"/>
        <v>20</v>
      </c>
      <c r="C117" s="26">
        <f t="shared" si="17"/>
        <v>0.10536484321338371</v>
      </c>
      <c r="D117" s="27">
        <f t="shared" si="19"/>
        <v>9.3568692392499223E-2</v>
      </c>
      <c r="E117" s="27"/>
      <c r="F117" s="26">
        <f t="shared" si="18"/>
        <v>4.3411637907833688E-3</v>
      </c>
      <c r="G117" s="27">
        <f t="shared" si="20"/>
        <v>0.53742984534374971</v>
      </c>
      <c r="H117" s="28">
        <f t="shared" si="21"/>
        <v>0.99999998260725509</v>
      </c>
      <c r="I117" s="28">
        <f t="shared" si="22"/>
        <v>0.99999945677277813</v>
      </c>
      <c r="J117" s="29">
        <f t="shared" si="23"/>
        <v>0.53743008890448163</v>
      </c>
      <c r="K117" s="28"/>
      <c r="L117" s="28"/>
    </row>
    <row r="118" spans="1:12" x14ac:dyDescent="0.2">
      <c r="A118">
        <f t="shared" si="24"/>
        <v>20</v>
      </c>
      <c r="B118">
        <f t="shared" si="16"/>
        <v>20</v>
      </c>
      <c r="C118" s="26">
        <f t="shared" si="17"/>
        <v>0.10536484321338371</v>
      </c>
      <c r="D118" s="27">
        <f t="shared" si="19"/>
        <v>9.3568692392499223E-2</v>
      </c>
      <c r="E118" s="27"/>
      <c r="F118" s="26">
        <f t="shared" si="18"/>
        <v>4.3411637907833688E-3</v>
      </c>
      <c r="G118" s="27">
        <f t="shared" si="20"/>
        <v>0.53742984534374971</v>
      </c>
      <c r="H118" s="28">
        <f t="shared" si="21"/>
        <v>0.99999998260725509</v>
      </c>
      <c r="I118" s="28">
        <f t="shared" si="22"/>
        <v>0.99999945677277813</v>
      </c>
      <c r="J118" s="29">
        <f t="shared" si="23"/>
        <v>0.53743008890448163</v>
      </c>
      <c r="K118" s="28"/>
      <c r="L118" s="28"/>
    </row>
    <row r="119" spans="1:12" x14ac:dyDescent="0.2">
      <c r="A119">
        <f t="shared" si="24"/>
        <v>20</v>
      </c>
      <c r="B119">
        <f t="shared" si="16"/>
        <v>20</v>
      </c>
      <c r="C119" s="26">
        <f t="shared" si="17"/>
        <v>0.10536484321338371</v>
      </c>
      <c r="D119" s="27">
        <f t="shared" si="19"/>
        <v>9.3568692392499223E-2</v>
      </c>
      <c r="E119" s="27"/>
      <c r="F119" s="26">
        <f t="shared" si="18"/>
        <v>4.3411637907833688E-3</v>
      </c>
      <c r="G119" s="27">
        <f t="shared" si="20"/>
        <v>0.53742984534374971</v>
      </c>
      <c r="H119" s="28">
        <f t="shared" si="21"/>
        <v>0.99999998260725509</v>
      </c>
      <c r="I119" s="28">
        <f t="shared" si="22"/>
        <v>0.99999945677277813</v>
      </c>
      <c r="J119" s="29">
        <f t="shared" si="23"/>
        <v>0.53743008890448163</v>
      </c>
      <c r="K119" s="28"/>
      <c r="L119" s="28"/>
    </row>
    <row r="120" spans="1:12" x14ac:dyDescent="0.2">
      <c r="A120">
        <f t="shared" si="24"/>
        <v>20</v>
      </c>
      <c r="B120">
        <f t="shared" si="16"/>
        <v>20</v>
      </c>
      <c r="C120" s="26">
        <f t="shared" si="17"/>
        <v>0.10536484321338371</v>
      </c>
      <c r="D120" s="27">
        <f t="shared" si="19"/>
        <v>9.3568692392499223E-2</v>
      </c>
      <c r="E120" s="27"/>
      <c r="F120" s="26">
        <f t="shared" si="18"/>
        <v>4.3411637907833688E-3</v>
      </c>
      <c r="G120" s="27">
        <f t="shared" si="20"/>
        <v>0.53742984534374971</v>
      </c>
      <c r="H120" s="28">
        <f t="shared" si="21"/>
        <v>0.99999998260725509</v>
      </c>
      <c r="I120" s="28">
        <f t="shared" si="22"/>
        <v>0.99999945677277813</v>
      </c>
      <c r="J120" s="29">
        <f t="shared" si="23"/>
        <v>0.53743008890448163</v>
      </c>
      <c r="K120" s="28"/>
      <c r="L120" s="28"/>
    </row>
    <row r="121" spans="1:12" x14ac:dyDescent="0.2">
      <c r="A121">
        <f t="shared" si="24"/>
        <v>20</v>
      </c>
      <c r="B121">
        <f t="shared" si="16"/>
        <v>20</v>
      </c>
      <c r="C121" s="26">
        <f t="shared" si="17"/>
        <v>0.10536484321338371</v>
      </c>
      <c r="D121" s="27">
        <f t="shared" si="19"/>
        <v>9.3568692392499223E-2</v>
      </c>
      <c r="E121" s="27"/>
      <c r="F121" s="26">
        <f t="shared" si="18"/>
        <v>4.3411637907833688E-3</v>
      </c>
      <c r="G121" s="27">
        <f t="shared" si="20"/>
        <v>0.53742984534374971</v>
      </c>
      <c r="H121" s="28">
        <f t="shared" si="21"/>
        <v>0.99999998260725509</v>
      </c>
      <c r="I121" s="28">
        <f t="shared" si="22"/>
        <v>0.99999945677277813</v>
      </c>
      <c r="J121" s="29">
        <f t="shared" si="23"/>
        <v>0.53743008890448163</v>
      </c>
      <c r="K121" s="28"/>
      <c r="L121" s="28"/>
    </row>
    <row r="122" spans="1:12" x14ac:dyDescent="0.2">
      <c r="A122">
        <f t="shared" si="24"/>
        <v>20</v>
      </c>
      <c r="B122">
        <f t="shared" ref="B122:B151" si="25">A122+$C$16*$C$17</f>
        <v>20</v>
      </c>
      <c r="C122" s="26">
        <f t="shared" ref="C122:C150" si="26">EXP(-(($B122-$E$7)^2/$E$9))</f>
        <v>0.10536484321338371</v>
      </c>
      <c r="D122" s="27">
        <f t="shared" si="19"/>
        <v>9.3568692392499223E-2</v>
      </c>
      <c r="E122" s="27"/>
      <c r="F122" s="26">
        <f t="shared" ref="F122:F150" si="27">EXP(-(($B122-$E$8)^2/$E$10))</f>
        <v>4.3411637907833688E-3</v>
      </c>
      <c r="G122" s="27">
        <f t="shared" si="20"/>
        <v>0.53742984534374971</v>
      </c>
      <c r="H122" s="28">
        <f t="shared" si="21"/>
        <v>0.99999998260725509</v>
      </c>
      <c r="I122" s="28">
        <f t="shared" si="22"/>
        <v>0.99999945677277813</v>
      </c>
      <c r="J122" s="29">
        <f t="shared" si="23"/>
        <v>0.53743008890448163</v>
      </c>
      <c r="K122" s="28"/>
      <c r="L122" s="28"/>
    </row>
    <row r="123" spans="1:12" x14ac:dyDescent="0.2">
      <c r="A123">
        <f t="shared" si="24"/>
        <v>20</v>
      </c>
      <c r="B123">
        <f t="shared" si="25"/>
        <v>20</v>
      </c>
      <c r="C123" s="26">
        <f t="shared" si="26"/>
        <v>0.10536484321338371</v>
      </c>
      <c r="D123" s="27">
        <f t="shared" si="19"/>
        <v>9.3568692392499223E-2</v>
      </c>
      <c r="E123" s="27"/>
      <c r="F123" s="26">
        <f t="shared" si="27"/>
        <v>4.3411637907833688E-3</v>
      </c>
      <c r="G123" s="27">
        <f t="shared" si="20"/>
        <v>0.53742984534374971</v>
      </c>
      <c r="H123" s="28">
        <f t="shared" si="21"/>
        <v>0.99999998260725509</v>
      </c>
      <c r="I123" s="28">
        <f t="shared" si="22"/>
        <v>0.99999945677277813</v>
      </c>
      <c r="J123" s="29">
        <f t="shared" si="23"/>
        <v>0.53743008890448163</v>
      </c>
      <c r="K123" s="28"/>
      <c r="L123" s="28"/>
    </row>
    <row r="124" spans="1:12" x14ac:dyDescent="0.2">
      <c r="A124">
        <f t="shared" si="24"/>
        <v>20</v>
      </c>
      <c r="B124">
        <f t="shared" si="25"/>
        <v>20</v>
      </c>
      <c r="C124" s="26">
        <f t="shared" si="26"/>
        <v>0.10536484321338371</v>
      </c>
      <c r="D124" s="27">
        <f t="shared" si="19"/>
        <v>9.3568692392499223E-2</v>
      </c>
      <c r="E124" s="27"/>
      <c r="F124" s="26">
        <f t="shared" si="27"/>
        <v>4.3411637907833688E-3</v>
      </c>
      <c r="G124" s="27">
        <f t="shared" si="20"/>
        <v>0.53742984534374971</v>
      </c>
      <c r="H124" s="28">
        <f t="shared" si="21"/>
        <v>0.99999998260725509</v>
      </c>
      <c r="I124" s="28">
        <f t="shared" si="22"/>
        <v>0.99999945677277813</v>
      </c>
      <c r="J124" s="29">
        <f t="shared" si="23"/>
        <v>0.53743008890448163</v>
      </c>
      <c r="K124" s="28"/>
      <c r="L124" s="28"/>
    </row>
    <row r="125" spans="1:12" x14ac:dyDescent="0.2">
      <c r="A125">
        <f t="shared" si="24"/>
        <v>20</v>
      </c>
      <c r="B125">
        <f t="shared" si="25"/>
        <v>20</v>
      </c>
      <c r="C125" s="26">
        <f t="shared" si="26"/>
        <v>0.10536484321338371</v>
      </c>
      <c r="D125" s="27">
        <f t="shared" si="19"/>
        <v>9.3568692392499223E-2</v>
      </c>
      <c r="E125" s="27"/>
      <c r="F125" s="26">
        <f t="shared" si="27"/>
        <v>4.3411637907833688E-3</v>
      </c>
      <c r="G125" s="27">
        <f t="shared" si="20"/>
        <v>0.53742984534374971</v>
      </c>
      <c r="H125" s="28">
        <f t="shared" si="21"/>
        <v>0.99999998260725509</v>
      </c>
      <c r="I125" s="28">
        <f t="shared" si="22"/>
        <v>0.99999945677277813</v>
      </c>
      <c r="J125" s="29">
        <f t="shared" si="23"/>
        <v>0.53743008890448163</v>
      </c>
      <c r="K125" s="28"/>
      <c r="L125" s="28"/>
    </row>
    <row r="126" spans="1:12" x14ac:dyDescent="0.2">
      <c r="A126">
        <f t="shared" si="24"/>
        <v>20</v>
      </c>
      <c r="B126">
        <f t="shared" si="25"/>
        <v>20</v>
      </c>
      <c r="C126" s="26">
        <f t="shared" si="26"/>
        <v>0.10536484321338371</v>
      </c>
      <c r="D126" s="27">
        <f t="shared" si="19"/>
        <v>9.3568692392499223E-2</v>
      </c>
      <c r="E126" s="27"/>
      <c r="F126" s="26">
        <f t="shared" si="27"/>
        <v>4.3411637907833688E-3</v>
      </c>
      <c r="G126" s="27">
        <f t="shared" si="20"/>
        <v>0.53742984534374971</v>
      </c>
      <c r="H126" s="28">
        <f t="shared" si="21"/>
        <v>0.99999998260725509</v>
      </c>
      <c r="I126" s="28">
        <f t="shared" si="22"/>
        <v>0.99999945677277813</v>
      </c>
      <c r="J126" s="29">
        <f t="shared" si="23"/>
        <v>0.53743008890448163</v>
      </c>
      <c r="K126" s="28"/>
      <c r="L126" s="28"/>
    </row>
    <row r="127" spans="1:12" x14ac:dyDescent="0.2">
      <c r="A127">
        <f t="shared" si="24"/>
        <v>20</v>
      </c>
      <c r="B127">
        <f t="shared" si="25"/>
        <v>20</v>
      </c>
      <c r="C127" s="26">
        <f t="shared" si="26"/>
        <v>0.10536484321338371</v>
      </c>
      <c r="D127" s="27">
        <f t="shared" si="19"/>
        <v>9.3568692392499223E-2</v>
      </c>
      <c r="E127" s="27"/>
      <c r="F127" s="26">
        <f t="shared" si="27"/>
        <v>4.3411637907833688E-3</v>
      </c>
      <c r="G127" s="27">
        <f t="shared" si="20"/>
        <v>0.53742984534374971</v>
      </c>
      <c r="H127" s="28">
        <f t="shared" si="21"/>
        <v>0.99999998260725509</v>
      </c>
      <c r="I127" s="28">
        <f t="shared" si="22"/>
        <v>0.99999945677277813</v>
      </c>
      <c r="J127" s="29">
        <f t="shared" si="23"/>
        <v>0.53743008890448163</v>
      </c>
      <c r="K127" s="28"/>
      <c r="L127" s="28"/>
    </row>
    <row r="128" spans="1:12" x14ac:dyDescent="0.2">
      <c r="A128">
        <f t="shared" si="24"/>
        <v>20</v>
      </c>
      <c r="B128">
        <f t="shared" si="25"/>
        <v>20</v>
      </c>
      <c r="C128" s="26">
        <f t="shared" si="26"/>
        <v>0.10536484321338371</v>
      </c>
      <c r="D128" s="27">
        <f t="shared" si="19"/>
        <v>9.3568692392499223E-2</v>
      </c>
      <c r="E128" s="27"/>
      <c r="F128" s="26">
        <f t="shared" si="27"/>
        <v>4.3411637907833688E-3</v>
      </c>
      <c r="G128" s="27">
        <f t="shared" si="20"/>
        <v>0.53742984534374971</v>
      </c>
      <c r="H128" s="28">
        <f t="shared" si="21"/>
        <v>0.99999998260725509</v>
      </c>
      <c r="I128" s="28">
        <f t="shared" si="22"/>
        <v>0.99999945677277813</v>
      </c>
      <c r="J128" s="29">
        <f t="shared" si="23"/>
        <v>0.53743008890448163</v>
      </c>
      <c r="K128" s="28"/>
      <c r="L128" s="28"/>
    </row>
    <row r="129" spans="1:12" x14ac:dyDescent="0.2">
      <c r="A129">
        <f t="shared" si="24"/>
        <v>20</v>
      </c>
      <c r="B129">
        <f t="shared" si="25"/>
        <v>20</v>
      </c>
      <c r="C129" s="26">
        <f t="shared" si="26"/>
        <v>0.10536484321338371</v>
      </c>
      <c r="D129" s="27">
        <f t="shared" si="19"/>
        <v>9.3568692392499223E-2</v>
      </c>
      <c r="E129" s="27"/>
      <c r="F129" s="26">
        <f t="shared" si="27"/>
        <v>4.3411637907833688E-3</v>
      </c>
      <c r="G129" s="27">
        <f t="shared" si="20"/>
        <v>0.53742984534374971</v>
      </c>
      <c r="H129" s="28">
        <f t="shared" si="21"/>
        <v>0.99999998260725509</v>
      </c>
      <c r="I129" s="28">
        <f t="shared" si="22"/>
        <v>0.99999945677277813</v>
      </c>
      <c r="J129" s="29">
        <f t="shared" si="23"/>
        <v>0.53743008890448163</v>
      </c>
      <c r="K129" s="28"/>
      <c r="L129" s="28"/>
    </row>
    <row r="130" spans="1:12" x14ac:dyDescent="0.2">
      <c r="A130">
        <f t="shared" si="24"/>
        <v>20</v>
      </c>
      <c r="B130">
        <f t="shared" si="25"/>
        <v>20</v>
      </c>
      <c r="C130" s="26">
        <f t="shared" si="26"/>
        <v>0.10536484321338371</v>
      </c>
      <c r="D130" s="27">
        <f t="shared" si="19"/>
        <v>9.3568692392499223E-2</v>
      </c>
      <c r="E130" s="27"/>
      <c r="F130" s="26">
        <f t="shared" si="27"/>
        <v>4.3411637907833688E-3</v>
      </c>
      <c r="G130" s="27">
        <f t="shared" si="20"/>
        <v>0.53742984534374971</v>
      </c>
      <c r="H130" s="28">
        <f t="shared" si="21"/>
        <v>0.99999998260725509</v>
      </c>
      <c r="I130" s="28">
        <f t="shared" si="22"/>
        <v>0.99999945677277813</v>
      </c>
      <c r="J130" s="29">
        <f t="shared" si="23"/>
        <v>0.53743008890448163</v>
      </c>
      <c r="K130" s="28"/>
      <c r="L130" s="28"/>
    </row>
    <row r="131" spans="1:12" x14ac:dyDescent="0.2">
      <c r="A131">
        <f t="shared" si="24"/>
        <v>20</v>
      </c>
      <c r="B131">
        <f t="shared" si="25"/>
        <v>20</v>
      </c>
      <c r="C131" s="26">
        <f t="shared" si="26"/>
        <v>0.10536484321338371</v>
      </c>
      <c r="D131" s="27">
        <f t="shared" si="19"/>
        <v>9.3568692392499223E-2</v>
      </c>
      <c r="E131" s="27"/>
      <c r="F131" s="26">
        <f t="shared" si="27"/>
        <v>4.3411637907833688E-3</v>
      </c>
      <c r="G131" s="27">
        <f t="shared" si="20"/>
        <v>0.53742984534374971</v>
      </c>
      <c r="H131" s="28">
        <f t="shared" si="21"/>
        <v>0.99999998260725509</v>
      </c>
      <c r="I131" s="28">
        <f t="shared" si="22"/>
        <v>0.99999945677277813</v>
      </c>
      <c r="J131" s="29">
        <f t="shared" si="23"/>
        <v>0.53743008890448163</v>
      </c>
      <c r="K131" s="28"/>
      <c r="L131" s="28"/>
    </row>
    <row r="132" spans="1:12" x14ac:dyDescent="0.2">
      <c r="A132">
        <f t="shared" si="24"/>
        <v>20</v>
      </c>
      <c r="B132">
        <f t="shared" si="25"/>
        <v>20</v>
      </c>
      <c r="C132" s="26">
        <f t="shared" si="26"/>
        <v>0.10536484321338371</v>
      </c>
      <c r="D132" s="27">
        <f t="shared" si="19"/>
        <v>9.3568692392499223E-2</v>
      </c>
      <c r="E132" s="27"/>
      <c r="F132" s="26">
        <f t="shared" si="27"/>
        <v>4.3411637907833688E-3</v>
      </c>
      <c r="G132" s="27">
        <f t="shared" si="20"/>
        <v>0.53742984534374971</v>
      </c>
      <c r="H132" s="28">
        <f t="shared" si="21"/>
        <v>0.99999998260725509</v>
      </c>
      <c r="I132" s="28">
        <f t="shared" si="22"/>
        <v>0.99999945677277813</v>
      </c>
      <c r="J132" s="29">
        <f t="shared" si="23"/>
        <v>0.53743008890448163</v>
      </c>
      <c r="K132" s="28"/>
      <c r="L132" s="28"/>
    </row>
    <row r="133" spans="1:12" x14ac:dyDescent="0.2">
      <c r="A133">
        <f t="shared" si="24"/>
        <v>20</v>
      </c>
      <c r="B133">
        <f t="shared" si="25"/>
        <v>20</v>
      </c>
      <c r="C133" s="26">
        <f t="shared" si="26"/>
        <v>0.10536484321338371</v>
      </c>
      <c r="D133" s="27">
        <f t="shared" si="19"/>
        <v>9.3568692392499223E-2</v>
      </c>
      <c r="E133" s="27"/>
      <c r="F133" s="26">
        <f t="shared" si="27"/>
        <v>4.3411637907833688E-3</v>
      </c>
      <c r="G133" s="27">
        <f t="shared" si="20"/>
        <v>0.53742984534374971</v>
      </c>
      <c r="H133" s="28">
        <f t="shared" si="21"/>
        <v>0.99999998260725509</v>
      </c>
      <c r="I133" s="28">
        <f t="shared" si="22"/>
        <v>0.99999945677277813</v>
      </c>
      <c r="J133" s="29">
        <f t="shared" si="23"/>
        <v>0.53743008890448163</v>
      </c>
      <c r="K133" s="28"/>
      <c r="L133" s="28"/>
    </row>
    <row r="134" spans="1:12" x14ac:dyDescent="0.2">
      <c r="A134">
        <f t="shared" si="24"/>
        <v>20</v>
      </c>
      <c r="B134">
        <f t="shared" si="25"/>
        <v>20</v>
      </c>
      <c r="C134" s="26">
        <f t="shared" si="26"/>
        <v>0.10536484321338371</v>
      </c>
      <c r="D134" s="27">
        <f t="shared" si="19"/>
        <v>9.3568692392499223E-2</v>
      </c>
      <c r="E134" s="27"/>
      <c r="F134" s="26">
        <f t="shared" si="27"/>
        <v>4.3411637907833688E-3</v>
      </c>
      <c r="G134" s="27">
        <f t="shared" si="20"/>
        <v>0.53742984534374971</v>
      </c>
      <c r="H134" s="28">
        <f t="shared" si="21"/>
        <v>0.99999998260725509</v>
      </c>
      <c r="I134" s="28">
        <f t="shared" si="22"/>
        <v>0.99999945677277813</v>
      </c>
      <c r="J134" s="29">
        <f t="shared" si="23"/>
        <v>0.53743008890448163</v>
      </c>
      <c r="K134" s="28"/>
      <c r="L134" s="28"/>
    </row>
    <row r="135" spans="1:12" x14ac:dyDescent="0.2">
      <c r="A135">
        <f t="shared" si="24"/>
        <v>20</v>
      </c>
      <c r="B135">
        <f t="shared" si="25"/>
        <v>20</v>
      </c>
      <c r="C135" s="26">
        <f t="shared" si="26"/>
        <v>0.10536484321338371</v>
      </c>
      <c r="D135" s="27">
        <f t="shared" si="19"/>
        <v>9.3568692392499223E-2</v>
      </c>
      <c r="E135" s="27"/>
      <c r="F135" s="26">
        <f t="shared" si="27"/>
        <v>4.3411637907833688E-3</v>
      </c>
      <c r="G135" s="27">
        <f t="shared" si="20"/>
        <v>0.53742984534374971</v>
      </c>
      <c r="H135" s="28">
        <f t="shared" si="21"/>
        <v>0.99999998260725509</v>
      </c>
      <c r="I135" s="28">
        <f t="shared" si="22"/>
        <v>0.99999945677277813</v>
      </c>
      <c r="J135" s="29">
        <f t="shared" si="23"/>
        <v>0.53743008890448163</v>
      </c>
      <c r="K135" s="28"/>
      <c r="L135" s="28"/>
    </row>
    <row r="136" spans="1:12" x14ac:dyDescent="0.2">
      <c r="A136">
        <f t="shared" si="24"/>
        <v>20</v>
      </c>
      <c r="B136">
        <f t="shared" si="25"/>
        <v>20</v>
      </c>
      <c r="C136" s="26">
        <f t="shared" si="26"/>
        <v>0.10536484321338371</v>
      </c>
      <c r="D136" s="27">
        <f t="shared" si="19"/>
        <v>9.3568692392499223E-2</v>
      </c>
      <c r="E136" s="27"/>
      <c r="F136" s="26">
        <f t="shared" si="27"/>
        <v>4.3411637907833688E-3</v>
      </c>
      <c r="G136" s="27">
        <f t="shared" si="20"/>
        <v>0.53742984534374971</v>
      </c>
      <c r="H136" s="28">
        <f t="shared" si="21"/>
        <v>0.99999998260725509</v>
      </c>
      <c r="I136" s="28">
        <f t="shared" si="22"/>
        <v>0.99999945677277813</v>
      </c>
      <c r="J136" s="29">
        <f t="shared" si="23"/>
        <v>0.53743008890448163</v>
      </c>
      <c r="K136" s="28"/>
      <c r="L136" s="28"/>
    </row>
    <row r="137" spans="1:12" x14ac:dyDescent="0.2">
      <c r="A137">
        <f t="shared" si="24"/>
        <v>20</v>
      </c>
      <c r="B137">
        <f t="shared" si="25"/>
        <v>20</v>
      </c>
      <c r="C137" s="26">
        <f t="shared" si="26"/>
        <v>0.10536484321338371</v>
      </c>
      <c r="D137" s="27">
        <f t="shared" si="19"/>
        <v>9.3568692392499223E-2</v>
      </c>
      <c r="E137" s="27"/>
      <c r="F137" s="26">
        <f t="shared" si="27"/>
        <v>4.3411637907833688E-3</v>
      </c>
      <c r="G137" s="27">
        <f t="shared" si="20"/>
        <v>0.53742984534374971</v>
      </c>
      <c r="H137" s="28">
        <f t="shared" si="21"/>
        <v>0.99999998260725509</v>
      </c>
      <c r="I137" s="28">
        <f t="shared" si="22"/>
        <v>0.99999945677277813</v>
      </c>
      <c r="J137" s="29">
        <f t="shared" si="23"/>
        <v>0.53743008890448163</v>
      </c>
      <c r="K137" s="28"/>
      <c r="L137" s="28"/>
    </row>
    <row r="138" spans="1:12" x14ac:dyDescent="0.2">
      <c r="A138">
        <f t="shared" si="24"/>
        <v>20</v>
      </c>
      <c r="B138">
        <f t="shared" si="25"/>
        <v>20</v>
      </c>
      <c r="C138" s="26">
        <f t="shared" si="26"/>
        <v>0.10536484321338371</v>
      </c>
      <c r="D138" s="27">
        <f t="shared" si="19"/>
        <v>9.3568692392499223E-2</v>
      </c>
      <c r="E138" s="27"/>
      <c r="F138" s="26">
        <f t="shared" si="27"/>
        <v>4.3411637907833688E-3</v>
      </c>
      <c r="G138" s="27">
        <f t="shared" si="20"/>
        <v>0.53742984534374971</v>
      </c>
      <c r="H138" s="28">
        <f t="shared" si="21"/>
        <v>0.99999998260725509</v>
      </c>
      <c r="I138" s="28">
        <f t="shared" si="22"/>
        <v>0.99999945677277813</v>
      </c>
      <c r="J138" s="29">
        <f t="shared" si="23"/>
        <v>0.53743008890448163</v>
      </c>
      <c r="K138" s="28"/>
      <c r="L138" s="28"/>
    </row>
    <row r="139" spans="1:12" x14ac:dyDescent="0.2">
      <c r="A139">
        <f t="shared" si="24"/>
        <v>20</v>
      </c>
      <c r="B139">
        <f t="shared" si="25"/>
        <v>20</v>
      </c>
      <c r="C139" s="26">
        <f t="shared" si="26"/>
        <v>0.10536484321338371</v>
      </c>
      <c r="D139" s="27">
        <f t="shared" si="19"/>
        <v>9.3568692392499223E-2</v>
      </c>
      <c r="E139" s="27"/>
      <c r="F139" s="26">
        <f t="shared" si="27"/>
        <v>4.3411637907833688E-3</v>
      </c>
      <c r="G139" s="27">
        <f t="shared" si="20"/>
        <v>0.53742984534374971</v>
      </c>
      <c r="H139" s="28">
        <f t="shared" si="21"/>
        <v>0.99999998260725509</v>
      </c>
      <c r="I139" s="28">
        <f t="shared" si="22"/>
        <v>0.99999945677277813</v>
      </c>
      <c r="J139" s="29">
        <f t="shared" si="23"/>
        <v>0.53743008890448163</v>
      </c>
      <c r="K139" s="28"/>
      <c r="L139" s="28"/>
    </row>
    <row r="140" spans="1:12" x14ac:dyDescent="0.2">
      <c r="A140">
        <f t="shared" si="24"/>
        <v>20</v>
      </c>
      <c r="B140">
        <f t="shared" si="25"/>
        <v>20</v>
      </c>
      <c r="C140" s="26">
        <f t="shared" si="26"/>
        <v>0.10536484321338371</v>
      </c>
      <c r="D140" s="27">
        <f t="shared" si="19"/>
        <v>9.3568692392499223E-2</v>
      </c>
      <c r="E140" s="27"/>
      <c r="F140" s="26">
        <f t="shared" si="27"/>
        <v>4.3411637907833688E-3</v>
      </c>
      <c r="G140" s="27">
        <f t="shared" si="20"/>
        <v>0.53742984534374971</v>
      </c>
      <c r="H140" s="28">
        <f t="shared" si="21"/>
        <v>0.99999998260725509</v>
      </c>
      <c r="I140" s="28">
        <f t="shared" si="22"/>
        <v>0.99999945677277813</v>
      </c>
      <c r="J140" s="29">
        <f t="shared" si="23"/>
        <v>0.53743008890448163</v>
      </c>
      <c r="K140" s="28"/>
      <c r="L140" s="28"/>
    </row>
    <row r="141" spans="1:12" x14ac:dyDescent="0.2">
      <c r="A141">
        <f t="shared" si="24"/>
        <v>20</v>
      </c>
      <c r="B141">
        <f t="shared" si="25"/>
        <v>20</v>
      </c>
      <c r="C141" s="26">
        <f t="shared" si="26"/>
        <v>0.10536484321338371</v>
      </c>
      <c r="D141" s="27">
        <f t="shared" si="19"/>
        <v>9.3568692392499223E-2</v>
      </c>
      <c r="E141" s="27"/>
      <c r="F141" s="26">
        <f t="shared" si="27"/>
        <v>4.3411637907833688E-3</v>
      </c>
      <c r="G141" s="27">
        <f t="shared" si="20"/>
        <v>0.53742984534374971</v>
      </c>
      <c r="H141" s="28">
        <f t="shared" si="21"/>
        <v>0.99999998260725509</v>
      </c>
      <c r="I141" s="28">
        <f t="shared" si="22"/>
        <v>0.99999945677277813</v>
      </c>
      <c r="J141" s="29">
        <f t="shared" si="23"/>
        <v>0.53743008890448163</v>
      </c>
      <c r="K141" s="28"/>
      <c r="L141" s="28"/>
    </row>
    <row r="142" spans="1:12" x14ac:dyDescent="0.2">
      <c r="A142">
        <f t="shared" si="24"/>
        <v>20</v>
      </c>
      <c r="B142">
        <f t="shared" si="25"/>
        <v>20</v>
      </c>
      <c r="C142" s="26">
        <f t="shared" si="26"/>
        <v>0.10536484321338371</v>
      </c>
      <c r="D142" s="27">
        <f t="shared" si="19"/>
        <v>9.3568692392499223E-2</v>
      </c>
      <c r="E142" s="27"/>
      <c r="F142" s="26">
        <f t="shared" si="27"/>
        <v>4.3411637907833688E-3</v>
      </c>
      <c r="G142" s="27">
        <f t="shared" si="20"/>
        <v>0.53742984534374971</v>
      </c>
      <c r="H142" s="28">
        <f t="shared" si="21"/>
        <v>0.99999998260725509</v>
      </c>
      <c r="I142" s="28">
        <f t="shared" si="22"/>
        <v>0.99999945677277813</v>
      </c>
      <c r="J142" s="29">
        <f t="shared" si="23"/>
        <v>0.53743008890448163</v>
      </c>
      <c r="K142" s="28"/>
      <c r="L142" s="28"/>
    </row>
    <row r="143" spans="1:12" x14ac:dyDescent="0.2">
      <c r="A143">
        <f t="shared" si="24"/>
        <v>20</v>
      </c>
      <c r="B143">
        <f t="shared" si="25"/>
        <v>20</v>
      </c>
      <c r="C143" s="26">
        <f t="shared" si="26"/>
        <v>0.10536484321338371</v>
      </c>
      <c r="D143" s="27">
        <f t="shared" si="19"/>
        <v>9.3568692392499223E-2</v>
      </c>
      <c r="E143" s="27"/>
      <c r="F143" s="26">
        <f t="shared" si="27"/>
        <v>4.3411637907833688E-3</v>
      </c>
      <c r="G143" s="27">
        <f t="shared" si="20"/>
        <v>0.53742984534374971</v>
      </c>
      <c r="H143" s="28">
        <f t="shared" si="21"/>
        <v>0.99999998260725509</v>
      </c>
      <c r="I143" s="28">
        <f t="shared" si="22"/>
        <v>0.99999945677277813</v>
      </c>
      <c r="J143" s="29">
        <f t="shared" si="23"/>
        <v>0.53743008890448163</v>
      </c>
      <c r="K143" s="28"/>
      <c r="L143" s="28"/>
    </row>
    <row r="144" spans="1:12" x14ac:dyDescent="0.2">
      <c r="A144">
        <f t="shared" si="24"/>
        <v>20</v>
      </c>
      <c r="B144">
        <f t="shared" si="25"/>
        <v>20</v>
      </c>
      <c r="C144" s="26">
        <f t="shared" si="26"/>
        <v>0.10536484321338371</v>
      </c>
      <c r="D144" s="27">
        <f t="shared" si="19"/>
        <v>9.3568692392499223E-2</v>
      </c>
      <c r="E144" s="27"/>
      <c r="F144" s="26">
        <f t="shared" si="27"/>
        <v>4.3411637907833688E-3</v>
      </c>
      <c r="G144" s="27">
        <f t="shared" si="20"/>
        <v>0.53742984534374971</v>
      </c>
      <c r="H144" s="28">
        <f t="shared" si="21"/>
        <v>0.99999998260725509</v>
      </c>
      <c r="I144" s="28">
        <f t="shared" si="22"/>
        <v>0.99999945677277813</v>
      </c>
      <c r="J144" s="29">
        <f t="shared" si="23"/>
        <v>0.53743008890448163</v>
      </c>
      <c r="K144" s="28"/>
      <c r="L144" s="28"/>
    </row>
    <row r="145" spans="1:12" x14ac:dyDescent="0.2">
      <c r="A145">
        <f t="shared" si="24"/>
        <v>20</v>
      </c>
      <c r="B145">
        <f t="shared" si="25"/>
        <v>20</v>
      </c>
      <c r="C145" s="26">
        <f t="shared" si="26"/>
        <v>0.10536484321338371</v>
      </c>
      <c r="D145" s="27">
        <f t="shared" si="19"/>
        <v>9.3568692392499223E-2</v>
      </c>
      <c r="E145" s="27"/>
      <c r="F145" s="26">
        <f t="shared" si="27"/>
        <v>4.3411637907833688E-3</v>
      </c>
      <c r="G145" s="27">
        <f t="shared" si="20"/>
        <v>0.53742984534374971</v>
      </c>
      <c r="H145" s="28">
        <f t="shared" si="21"/>
        <v>0.99999998260725509</v>
      </c>
      <c r="I145" s="28">
        <f t="shared" si="22"/>
        <v>0.99999945677277813</v>
      </c>
      <c r="J145" s="29">
        <f t="shared" si="23"/>
        <v>0.53743008890448163</v>
      </c>
      <c r="K145" s="28"/>
      <c r="L145" s="28"/>
    </row>
    <row r="146" spans="1:12" x14ac:dyDescent="0.2">
      <c r="A146">
        <f t="shared" si="24"/>
        <v>20</v>
      </c>
      <c r="B146">
        <f t="shared" si="25"/>
        <v>20</v>
      </c>
      <c r="C146" s="26">
        <f t="shared" si="26"/>
        <v>0.10536484321338371</v>
      </c>
      <c r="D146" s="27">
        <f t="shared" si="19"/>
        <v>9.3568692392499223E-2</v>
      </c>
      <c r="E146" s="27"/>
      <c r="F146" s="26">
        <f t="shared" si="27"/>
        <v>4.3411637907833688E-3</v>
      </c>
      <c r="G146" s="27">
        <f t="shared" si="20"/>
        <v>0.53742984534374971</v>
      </c>
      <c r="H146" s="28">
        <f t="shared" si="21"/>
        <v>0.99999998260725509</v>
      </c>
      <c r="I146" s="28">
        <f t="shared" si="22"/>
        <v>0.99999945677277813</v>
      </c>
      <c r="J146" s="29">
        <f t="shared" si="23"/>
        <v>0.53743008890448163</v>
      </c>
      <c r="K146" s="28"/>
      <c r="L146" s="28"/>
    </row>
    <row r="147" spans="1:12" x14ac:dyDescent="0.2">
      <c r="A147">
        <f t="shared" si="24"/>
        <v>20</v>
      </c>
      <c r="B147">
        <f t="shared" si="25"/>
        <v>20</v>
      </c>
      <c r="C147" s="26">
        <f t="shared" si="26"/>
        <v>0.10536484321338371</v>
      </c>
      <c r="D147" s="27">
        <f t="shared" si="19"/>
        <v>9.3568692392499223E-2</v>
      </c>
      <c r="E147" s="27"/>
      <c r="F147" s="26">
        <f t="shared" si="27"/>
        <v>4.3411637907833688E-3</v>
      </c>
      <c r="G147" s="27">
        <f t="shared" si="20"/>
        <v>0.53742984534374971</v>
      </c>
      <c r="H147" s="28">
        <f t="shared" si="21"/>
        <v>0.99999998260725509</v>
      </c>
      <c r="I147" s="28">
        <f t="shared" si="22"/>
        <v>0.99999945677277813</v>
      </c>
      <c r="J147" s="29">
        <f t="shared" si="23"/>
        <v>0.53743008890448163</v>
      </c>
      <c r="K147" s="28"/>
      <c r="L147" s="28"/>
    </row>
    <row r="148" spans="1:12" x14ac:dyDescent="0.2">
      <c r="A148">
        <f t="shared" si="24"/>
        <v>20</v>
      </c>
      <c r="B148">
        <f t="shared" si="25"/>
        <v>20</v>
      </c>
      <c r="C148" s="26">
        <f t="shared" si="26"/>
        <v>0.10536484321338371</v>
      </c>
      <c r="D148" s="27">
        <f t="shared" si="19"/>
        <v>9.3568692392499223E-2</v>
      </c>
      <c r="E148" s="27"/>
      <c r="F148" s="26">
        <f t="shared" si="27"/>
        <v>4.3411637907833688E-3</v>
      </c>
      <c r="G148" s="27">
        <f t="shared" si="20"/>
        <v>0.53742984534374971</v>
      </c>
      <c r="H148" s="28">
        <f t="shared" si="21"/>
        <v>0.99999998260725509</v>
      </c>
      <c r="I148" s="28">
        <f t="shared" si="22"/>
        <v>0.99999945677277813</v>
      </c>
      <c r="J148" s="29">
        <f t="shared" si="23"/>
        <v>0.53743008890448163</v>
      </c>
      <c r="K148" s="28"/>
      <c r="L148" s="28"/>
    </row>
    <row r="149" spans="1:12" x14ac:dyDescent="0.2">
      <c r="A149">
        <f t="shared" si="24"/>
        <v>20</v>
      </c>
      <c r="B149">
        <f t="shared" si="25"/>
        <v>20</v>
      </c>
      <c r="C149" s="26">
        <f t="shared" si="26"/>
        <v>0.10536484321338371</v>
      </c>
      <c r="D149" s="27">
        <f t="shared" si="19"/>
        <v>9.3568692392499223E-2</v>
      </c>
      <c r="E149" s="27"/>
      <c r="F149" s="26">
        <f t="shared" si="27"/>
        <v>4.3411637907833688E-3</v>
      </c>
      <c r="G149" s="27">
        <f t="shared" si="20"/>
        <v>0.53742984534374971</v>
      </c>
      <c r="H149" s="28">
        <f t="shared" si="21"/>
        <v>0.99999998260725509</v>
      </c>
      <c r="I149" s="28">
        <f t="shared" si="22"/>
        <v>0.99999945677277813</v>
      </c>
      <c r="J149" s="29">
        <f t="shared" si="23"/>
        <v>0.53743008890448163</v>
      </c>
      <c r="K149" s="28"/>
      <c r="L149" s="28"/>
    </row>
    <row r="150" spans="1:12" x14ac:dyDescent="0.2">
      <c r="A150">
        <f t="shared" si="24"/>
        <v>20</v>
      </c>
      <c r="B150">
        <f t="shared" si="25"/>
        <v>20</v>
      </c>
      <c r="C150" s="26">
        <f t="shared" si="26"/>
        <v>0.10536484321338371</v>
      </c>
      <c r="D150" s="27">
        <f t="shared" si="19"/>
        <v>9.3568692392499223E-2</v>
      </c>
      <c r="E150" s="27"/>
      <c r="F150" s="26">
        <f t="shared" si="27"/>
        <v>4.3411637907833688E-3</v>
      </c>
      <c r="G150" s="27">
        <f t="shared" si="20"/>
        <v>0.53742984534374971</v>
      </c>
      <c r="H150" s="28">
        <f t="shared" si="21"/>
        <v>0.99999998260725509</v>
      </c>
      <c r="I150" s="28">
        <f t="shared" si="22"/>
        <v>0.99999945677277813</v>
      </c>
      <c r="J150" s="29">
        <f t="shared" si="23"/>
        <v>0.53743008890448163</v>
      </c>
      <c r="K150" s="28"/>
      <c r="L150" s="28"/>
    </row>
    <row r="151" spans="1:12" x14ac:dyDescent="0.2">
      <c r="A151">
        <f t="shared" si="24"/>
        <v>20</v>
      </c>
      <c r="B151">
        <f t="shared" si="25"/>
        <v>20</v>
      </c>
      <c r="D151" s="27"/>
      <c r="E151" s="27"/>
      <c r="G151" s="27"/>
      <c r="H151" s="28"/>
    </row>
    <row r="152" spans="1:12" x14ac:dyDescent="0.2">
      <c r="A152">
        <f t="shared" si="24"/>
        <v>20</v>
      </c>
    </row>
  </sheetData>
  <mergeCells count="2">
    <mergeCell ref="K6:P6"/>
    <mergeCell ref="F5:G5"/>
  </mergeCells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4" r:id="rId4" name="ScrollBar6">
          <controlPr defaultSize="0" autoLine="0" autoPict="0" linkedCell="Q12" r:id="rId5">
            <anchor moveWithCells="1">
              <from>
                <xdr:col>10</xdr:col>
                <xdr:colOff>0</xdr:colOff>
                <xdr:row>11</xdr:row>
                <xdr:rowOff>0</xdr:rowOff>
              </from>
              <to>
                <xdr:col>16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034" r:id="rId4" name="ScrollBar6"/>
      </mc:Fallback>
    </mc:AlternateContent>
    <mc:AlternateContent xmlns:mc="http://schemas.openxmlformats.org/markup-compatibility/2006">
      <mc:Choice Requires="x14">
        <control shapeId="1033" r:id="rId6" name="ScrollBar5">
          <controlPr defaultSize="0" autoLine="0" autoPict="0" linkedCell="Q11" r:id="rId7">
            <anchor moveWithCells="1">
              <from>
                <xdr:col>10</xdr:col>
                <xdr:colOff>0</xdr:colOff>
                <xdr:row>10</xdr:row>
                <xdr:rowOff>0</xdr:rowOff>
              </from>
              <to>
                <xdr:col>16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033" r:id="rId6" name="ScrollBar5"/>
      </mc:Fallback>
    </mc:AlternateContent>
    <mc:AlternateContent xmlns:mc="http://schemas.openxmlformats.org/markup-compatibility/2006">
      <mc:Choice Requires="x14">
        <control shapeId="1032" r:id="rId8" name="ScrollBar4">
          <controlPr defaultSize="0" autoLine="0" autoPict="0" linkedCell="Q10" r:id="rId9">
            <anchor moveWithCells="1">
              <from>
                <xdr:col>10</xdr:col>
                <xdr:colOff>0</xdr:colOff>
                <xdr:row>9</xdr:row>
                <xdr:rowOff>0</xdr:rowOff>
              </from>
              <to>
                <xdr:col>16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32" r:id="rId8" name="ScrollBar4"/>
      </mc:Fallback>
    </mc:AlternateContent>
    <mc:AlternateContent xmlns:mc="http://schemas.openxmlformats.org/markup-compatibility/2006">
      <mc:Choice Requires="x14">
        <control shapeId="1031" r:id="rId10" name="ScrollBar3">
          <controlPr defaultSize="0" autoLine="0" linkedCell="Q9" r:id="rId11">
            <anchor moveWithCells="1">
              <from>
                <xdr:col>10</xdr:col>
                <xdr:colOff>0</xdr:colOff>
                <xdr:row>8</xdr:row>
                <xdr:rowOff>0</xdr:rowOff>
              </from>
              <to>
                <xdr:col>16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031" r:id="rId10" name="ScrollBar3"/>
      </mc:Fallback>
    </mc:AlternateContent>
    <mc:AlternateContent xmlns:mc="http://schemas.openxmlformats.org/markup-compatibility/2006">
      <mc:Choice Requires="x14">
        <control shapeId="1030" r:id="rId12" name="ScrollBar2">
          <controlPr defaultSize="0" autoLine="0" autoPict="0" linkedCell="Q8" r:id="rId13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12" name="ScrollBar2"/>
      </mc:Fallback>
    </mc:AlternateContent>
    <mc:AlternateContent xmlns:mc="http://schemas.openxmlformats.org/markup-compatibility/2006">
      <mc:Choice Requires="x14">
        <control shapeId="1029" r:id="rId14" name="ScrollBar1">
          <controlPr defaultSize="0" autoLine="0" linkedCell="Q7" r:id="rId15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9" r:id="rId14" name="ScrollBa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8"/>
  <sheetViews>
    <sheetView tabSelected="1" workbookViewId="0">
      <selection activeCell="K3" sqref="K3"/>
    </sheetView>
  </sheetViews>
  <sheetFormatPr defaultRowHeight="12.75" x14ac:dyDescent="0.2"/>
  <cols>
    <col min="7" max="7" width="12.28515625" bestFit="1" customWidth="1"/>
  </cols>
  <sheetData>
    <row r="1" spans="1:16" x14ac:dyDescent="0.2">
      <c r="A1" s="3" t="s">
        <v>81</v>
      </c>
    </row>
    <row r="2" spans="1:16" x14ac:dyDescent="0.2">
      <c r="A2" t="s">
        <v>100</v>
      </c>
    </row>
    <row r="4" spans="1:16" x14ac:dyDescent="0.2">
      <c r="A4" s="94" t="s">
        <v>82</v>
      </c>
    </row>
    <row r="5" spans="1:16" x14ac:dyDescent="0.2">
      <c r="A5" s="95" t="s">
        <v>83</v>
      </c>
      <c r="B5" s="95" t="s">
        <v>84</v>
      </c>
      <c r="C5" s="95" t="s">
        <v>85</v>
      </c>
      <c r="D5" s="95" t="s">
        <v>86</v>
      </c>
    </row>
    <row r="6" spans="1:16" x14ac:dyDescent="0.2">
      <c r="A6">
        <v>6</v>
      </c>
      <c r="B6">
        <v>0</v>
      </c>
      <c r="C6">
        <v>0</v>
      </c>
      <c r="D6" s="96">
        <v>7</v>
      </c>
    </row>
    <row r="7" spans="1:16" x14ac:dyDescent="0.2">
      <c r="A7" s="94" t="s">
        <v>87</v>
      </c>
    </row>
    <row r="8" spans="1:16" x14ac:dyDescent="0.2">
      <c r="A8">
        <v>20</v>
      </c>
      <c r="B8">
        <v>80</v>
      </c>
      <c r="C8" s="96">
        <v>36</v>
      </c>
      <c r="D8">
        <v>36</v>
      </c>
      <c r="E8">
        <v>0</v>
      </c>
      <c r="F8">
        <v>99</v>
      </c>
      <c r="G8">
        <v>-3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P8" s="94" t="s">
        <v>88</v>
      </c>
    </row>
    <row r="9" spans="1:16" x14ac:dyDescent="0.2">
      <c r="A9">
        <v>20</v>
      </c>
      <c r="B9">
        <v>200</v>
      </c>
      <c r="C9" s="96">
        <v>76</v>
      </c>
      <c r="D9">
        <v>76</v>
      </c>
      <c r="E9">
        <v>0</v>
      </c>
      <c r="F9">
        <v>99</v>
      </c>
      <c r="G9">
        <v>-3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P9" s="94" t="s">
        <v>89</v>
      </c>
    </row>
    <row r="10" spans="1:16" x14ac:dyDescent="0.2">
      <c r="A10">
        <v>-5</v>
      </c>
      <c r="B10">
        <v>9</v>
      </c>
      <c r="C10" s="96">
        <v>-2</v>
      </c>
      <c r="D10">
        <v>-2</v>
      </c>
      <c r="E10">
        <v>0</v>
      </c>
      <c r="F10">
        <v>99</v>
      </c>
      <c r="G10">
        <v>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P10" s="94" t="s">
        <v>90</v>
      </c>
    </row>
    <row r="11" spans="1:16" x14ac:dyDescent="0.2">
      <c r="A11">
        <v>-5</v>
      </c>
      <c r="B11">
        <v>9</v>
      </c>
      <c r="C11" s="96">
        <v>0</v>
      </c>
      <c r="D11">
        <v>0</v>
      </c>
      <c r="E11">
        <v>0</v>
      </c>
      <c r="F11">
        <v>99</v>
      </c>
      <c r="G11">
        <v>2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P11" s="94" t="s">
        <v>91</v>
      </c>
    </row>
    <row r="12" spans="1:16" x14ac:dyDescent="0.2">
      <c r="A12">
        <v>-5</v>
      </c>
      <c r="B12">
        <v>9</v>
      </c>
      <c r="C12" s="96">
        <v>1</v>
      </c>
      <c r="D12">
        <v>0</v>
      </c>
      <c r="E12">
        <v>0</v>
      </c>
      <c r="F12">
        <v>99</v>
      </c>
      <c r="G12">
        <v>2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 s="94" t="s">
        <v>91</v>
      </c>
    </row>
    <row r="13" spans="1:16" x14ac:dyDescent="0.2">
      <c r="A13">
        <v>-5</v>
      </c>
      <c r="B13">
        <v>9</v>
      </c>
      <c r="C13" s="96">
        <v>2</v>
      </c>
      <c r="D13">
        <v>7</v>
      </c>
      <c r="E13">
        <v>0</v>
      </c>
      <c r="F13">
        <v>99</v>
      </c>
      <c r="G13">
        <v>2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P13" s="94" t="s">
        <v>91</v>
      </c>
    </row>
    <row r="14" spans="1:16" x14ac:dyDescent="0.2">
      <c r="A14">
        <v>-5</v>
      </c>
      <c r="B14">
        <v>9</v>
      </c>
      <c r="C14" s="96">
        <v>3.3</v>
      </c>
      <c r="D14">
        <v>7</v>
      </c>
      <c r="E14">
        <v>0</v>
      </c>
      <c r="F14">
        <v>2</v>
      </c>
      <c r="G14">
        <v>2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P14" s="94" t="s">
        <v>91</v>
      </c>
    </row>
    <row r="15" spans="1:16" x14ac:dyDescent="0.2">
      <c r="A15">
        <v>-5</v>
      </c>
      <c r="B15">
        <v>9</v>
      </c>
      <c r="C15" s="96">
        <v>3.2</v>
      </c>
      <c r="D15">
        <v>7</v>
      </c>
      <c r="E15">
        <v>0</v>
      </c>
      <c r="F15">
        <v>2</v>
      </c>
      <c r="G15">
        <v>2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P15" s="94" t="s">
        <v>91</v>
      </c>
    </row>
    <row r="16" spans="1:16" x14ac:dyDescent="0.2">
      <c r="A16">
        <v>-5</v>
      </c>
      <c r="B16">
        <v>9</v>
      </c>
      <c r="C16" s="96">
        <v>3</v>
      </c>
      <c r="D16">
        <v>7</v>
      </c>
      <c r="E16">
        <v>0</v>
      </c>
      <c r="F16">
        <v>2</v>
      </c>
      <c r="G16">
        <v>2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P16" s="94" t="s">
        <v>92</v>
      </c>
    </row>
    <row r="18" spans="1:8" x14ac:dyDescent="0.2">
      <c r="A18" t="s">
        <v>96</v>
      </c>
    </row>
    <row r="19" spans="1:8" x14ac:dyDescent="0.2">
      <c r="A19">
        <v>36</v>
      </c>
      <c r="B19" s="12">
        <f>A19+($C$9-$C$8)/($D$6-1)</f>
        <v>42.666666666666664</v>
      </c>
      <c r="C19" s="12">
        <f>B19+($C$9-$C$8)/($D$6-1)</f>
        <v>49.333333333333329</v>
      </c>
      <c r="D19" s="12">
        <f>C19+($C$9-$C$8)/($D$6-1)</f>
        <v>55.999999999999993</v>
      </c>
      <c r="E19" s="12">
        <f>D19+($C$9-$C$8)/($D$6-1)</f>
        <v>62.666666666666657</v>
      </c>
      <c r="F19" s="12">
        <f>E19+($C$9-$C$8)/($D$6-1)</f>
        <v>69.333333333333329</v>
      </c>
      <c r="G19" s="12">
        <f>F19+($C$9-$C$8)/($D$6-1)</f>
        <v>76</v>
      </c>
      <c r="H19" s="12"/>
    </row>
    <row r="20" spans="1:8" x14ac:dyDescent="0.2">
      <c r="A20">
        <f>C10</f>
        <v>-2</v>
      </c>
      <c r="B20">
        <f>C11</f>
        <v>0</v>
      </c>
      <c r="C20">
        <f>C12</f>
        <v>1</v>
      </c>
      <c r="D20">
        <f>C13</f>
        <v>2</v>
      </c>
      <c r="E20">
        <f>C14</f>
        <v>3.3</v>
      </c>
      <c r="F20">
        <f>C15</f>
        <v>3.2</v>
      </c>
      <c r="G20">
        <f>C16</f>
        <v>3</v>
      </c>
    </row>
    <row r="21" spans="1:8" x14ac:dyDescent="0.2">
      <c r="A21" t="s">
        <v>93</v>
      </c>
    </row>
    <row r="23" spans="1:8" x14ac:dyDescent="0.2">
      <c r="A23" t="s">
        <v>94</v>
      </c>
      <c r="B23" t="s">
        <v>95</v>
      </c>
      <c r="E23" t="s">
        <v>103</v>
      </c>
      <c r="G23" t="s">
        <v>104</v>
      </c>
    </row>
    <row r="24" spans="1:8" x14ac:dyDescent="0.2">
      <c r="A24">
        <v>10</v>
      </c>
      <c r="B24">
        <f>-10</f>
        <v>-10</v>
      </c>
      <c r="C24" t="s">
        <v>98</v>
      </c>
      <c r="D24" s="27">
        <f>(B37-B24)/(A37-A24)</f>
        <v>0.30769230769230771</v>
      </c>
      <c r="E24">
        <f>B24-MAX($B$24:$B$68)</f>
        <v>-13.3</v>
      </c>
      <c r="G24">
        <f>EXP(E24)</f>
        <v>1.674493209434266E-6</v>
      </c>
    </row>
    <row r="25" spans="1:8" x14ac:dyDescent="0.2">
      <c r="A25">
        <f>A24+2</f>
        <v>12</v>
      </c>
      <c r="B25" s="12">
        <f t="shared" ref="B25:B36" si="0">B24+(A25-A24)*D25</f>
        <v>-9.384615384615385</v>
      </c>
      <c r="C25" t="s">
        <v>99</v>
      </c>
      <c r="D25" s="27">
        <f t="shared" ref="D25:D36" si="1">D24</f>
        <v>0.30769230769230771</v>
      </c>
      <c r="E25">
        <f t="shared" ref="E25:E68" si="2">B25-MAX($B$24:$B$68)</f>
        <v>-12.684615384615384</v>
      </c>
      <c r="G25">
        <f t="shared" ref="G25:G68" si="3">EXP(E25)</f>
        <v>3.098428890020581E-6</v>
      </c>
    </row>
    <row r="26" spans="1:8" x14ac:dyDescent="0.2">
      <c r="A26">
        <f t="shared" ref="A26:A68" si="4">A25+2</f>
        <v>14</v>
      </c>
      <c r="B26" s="12">
        <f t="shared" si="0"/>
        <v>-8.7692307692307701</v>
      </c>
      <c r="C26" t="s">
        <v>99</v>
      </c>
      <c r="D26" s="27">
        <f t="shared" si="1"/>
        <v>0.30769230769230771</v>
      </c>
      <c r="E26">
        <f t="shared" si="2"/>
        <v>-12.069230769230771</v>
      </c>
      <c r="G26">
        <f t="shared" si="3"/>
        <v>5.7332341107299093E-6</v>
      </c>
    </row>
    <row r="27" spans="1:8" x14ac:dyDescent="0.2">
      <c r="A27">
        <f t="shared" si="4"/>
        <v>16</v>
      </c>
      <c r="B27" s="12">
        <f t="shared" si="0"/>
        <v>-8.1538461538461551</v>
      </c>
      <c r="C27" t="s">
        <v>99</v>
      </c>
      <c r="D27" s="27">
        <f t="shared" si="1"/>
        <v>0.30769230769230771</v>
      </c>
      <c r="E27">
        <f t="shared" si="2"/>
        <v>-11.453846153846154</v>
      </c>
      <c r="G27">
        <f t="shared" si="3"/>
        <v>1.0608593753532537E-5</v>
      </c>
    </row>
    <row r="28" spans="1:8" x14ac:dyDescent="0.2">
      <c r="A28">
        <f t="shared" si="4"/>
        <v>18</v>
      </c>
      <c r="B28" s="12">
        <f t="shared" si="0"/>
        <v>-7.5384615384615401</v>
      </c>
      <c r="C28" t="s">
        <v>99</v>
      </c>
      <c r="D28" s="27">
        <f t="shared" si="1"/>
        <v>0.30769230769230771</v>
      </c>
      <c r="E28">
        <f t="shared" si="2"/>
        <v>-10.838461538461541</v>
      </c>
      <c r="G28">
        <f t="shared" si="3"/>
        <v>1.9629803921117255E-5</v>
      </c>
    </row>
    <row r="29" spans="1:8" x14ac:dyDescent="0.2">
      <c r="A29">
        <f t="shared" si="4"/>
        <v>20</v>
      </c>
      <c r="B29" s="12">
        <f t="shared" si="0"/>
        <v>-6.9230769230769251</v>
      </c>
      <c r="C29" t="s">
        <v>99</v>
      </c>
      <c r="D29" s="27">
        <f t="shared" si="1"/>
        <v>0.30769230769230771</v>
      </c>
      <c r="E29">
        <f t="shared" si="2"/>
        <v>-10.223076923076924</v>
      </c>
      <c r="G29">
        <f t="shared" si="3"/>
        <v>3.6322363824442011E-5</v>
      </c>
    </row>
    <row r="30" spans="1:8" x14ac:dyDescent="0.2">
      <c r="A30">
        <f t="shared" si="4"/>
        <v>22</v>
      </c>
      <c r="B30" s="12">
        <f t="shared" si="0"/>
        <v>-6.3076923076923102</v>
      </c>
      <c r="C30" t="s">
        <v>99</v>
      </c>
      <c r="D30" s="27">
        <f t="shared" si="1"/>
        <v>0.30769230769230771</v>
      </c>
      <c r="E30">
        <f t="shared" si="2"/>
        <v>-9.6076923076923109</v>
      </c>
      <c r="G30">
        <f t="shared" si="3"/>
        <v>6.7209744890821022E-5</v>
      </c>
    </row>
    <row r="31" spans="1:8" x14ac:dyDescent="0.2">
      <c r="A31">
        <f t="shared" si="4"/>
        <v>24</v>
      </c>
      <c r="B31" s="12">
        <f t="shared" si="0"/>
        <v>-5.6923076923076952</v>
      </c>
      <c r="C31" t="s">
        <v>99</v>
      </c>
      <c r="D31" s="27">
        <f t="shared" si="1"/>
        <v>0.30769230769230771</v>
      </c>
      <c r="E31">
        <f t="shared" si="2"/>
        <v>-8.9923076923076941</v>
      </c>
      <c r="G31">
        <f t="shared" si="3"/>
        <v>1.2436277082962269E-4</v>
      </c>
    </row>
    <row r="32" spans="1:8" x14ac:dyDescent="0.2">
      <c r="A32">
        <f t="shared" si="4"/>
        <v>26</v>
      </c>
      <c r="B32" s="12">
        <f t="shared" si="0"/>
        <v>-5.0769230769230802</v>
      </c>
      <c r="C32" t="s">
        <v>99</v>
      </c>
      <c r="D32" s="27">
        <f t="shared" si="1"/>
        <v>0.30769230769230771</v>
      </c>
      <c r="E32">
        <f t="shared" si="2"/>
        <v>-8.3769230769230809</v>
      </c>
      <c r="G32">
        <f t="shared" si="3"/>
        <v>2.3011690928964428E-4</v>
      </c>
    </row>
    <row r="33" spans="1:7" x14ac:dyDescent="0.2">
      <c r="A33">
        <f t="shared" si="4"/>
        <v>28</v>
      </c>
      <c r="B33" s="12">
        <f t="shared" si="0"/>
        <v>-4.4615384615384652</v>
      </c>
      <c r="C33" t="s">
        <v>99</v>
      </c>
      <c r="D33" s="27">
        <f t="shared" si="1"/>
        <v>0.30769230769230771</v>
      </c>
      <c r="E33">
        <f t="shared" si="2"/>
        <v>-7.7615384615384651</v>
      </c>
      <c r="G33">
        <f t="shared" si="3"/>
        <v>4.2580099806207558E-4</v>
      </c>
    </row>
    <row r="34" spans="1:7" x14ac:dyDescent="0.2">
      <c r="A34">
        <f t="shared" si="4"/>
        <v>30</v>
      </c>
      <c r="B34" s="12">
        <f t="shared" si="0"/>
        <v>-3.8461538461538498</v>
      </c>
      <c r="C34" t="s">
        <v>99</v>
      </c>
      <c r="D34" s="27">
        <f t="shared" si="1"/>
        <v>0.30769230769230771</v>
      </c>
      <c r="E34">
        <f t="shared" si="2"/>
        <v>-7.1461538461538492</v>
      </c>
      <c r="G34">
        <f t="shared" si="3"/>
        <v>7.8788860197340942E-4</v>
      </c>
    </row>
    <row r="35" spans="1:7" x14ac:dyDescent="0.2">
      <c r="A35">
        <f t="shared" si="4"/>
        <v>32</v>
      </c>
      <c r="B35" s="12">
        <f t="shared" si="0"/>
        <v>-3.2307692307692344</v>
      </c>
      <c r="C35" t="s">
        <v>99</v>
      </c>
      <c r="D35" s="27">
        <f t="shared" si="1"/>
        <v>0.30769230769230771</v>
      </c>
      <c r="E35">
        <f t="shared" si="2"/>
        <v>-6.5307692307692342</v>
      </c>
      <c r="G35">
        <f t="shared" si="3"/>
        <v>1.4578839691425851E-3</v>
      </c>
    </row>
    <row r="36" spans="1:7" x14ac:dyDescent="0.2">
      <c r="A36">
        <f t="shared" si="4"/>
        <v>34</v>
      </c>
      <c r="B36" s="12">
        <f t="shared" si="0"/>
        <v>-2.615384615384619</v>
      </c>
      <c r="C36" t="s">
        <v>99</v>
      </c>
      <c r="D36" s="27">
        <f t="shared" si="1"/>
        <v>0.30769230769230771</v>
      </c>
      <c r="E36">
        <f t="shared" si="2"/>
        <v>-5.9153846153846192</v>
      </c>
      <c r="G36">
        <f t="shared" si="3"/>
        <v>2.6976220523554032E-3</v>
      </c>
    </row>
    <row r="37" spans="1:7" x14ac:dyDescent="0.2">
      <c r="A37">
        <f t="shared" si="4"/>
        <v>36</v>
      </c>
      <c r="B37" s="98">
        <f>C10</f>
        <v>-2</v>
      </c>
      <c r="C37" t="s">
        <v>97</v>
      </c>
      <c r="D37" s="27">
        <f>(B41-B37)/(A41-A37)</f>
        <v>0.3000000000000001</v>
      </c>
      <c r="E37">
        <f t="shared" si="2"/>
        <v>-5.3</v>
      </c>
      <c r="G37">
        <f t="shared" si="3"/>
        <v>4.991593906910217E-3</v>
      </c>
    </row>
    <row r="38" spans="1:7" x14ac:dyDescent="0.2">
      <c r="A38">
        <f t="shared" si="4"/>
        <v>38</v>
      </c>
      <c r="B38">
        <f>B37+(A38-A37)*D38</f>
        <v>-1.4</v>
      </c>
      <c r="D38" s="27">
        <f>D37</f>
        <v>0.3000000000000001</v>
      </c>
      <c r="E38">
        <f t="shared" si="2"/>
        <v>-4.6999999999999993</v>
      </c>
      <c r="G38">
        <f t="shared" si="3"/>
        <v>9.0952771016958242E-3</v>
      </c>
    </row>
    <row r="39" spans="1:7" x14ac:dyDescent="0.2">
      <c r="A39">
        <f t="shared" si="4"/>
        <v>40</v>
      </c>
      <c r="B39">
        <f t="shared" ref="B39:B40" si="5">B38+(A39-A38)*D39</f>
        <v>-0.79999999999999971</v>
      </c>
      <c r="D39" s="27">
        <f>D38</f>
        <v>0.3000000000000001</v>
      </c>
      <c r="E39">
        <f t="shared" si="2"/>
        <v>-4.0999999999999996</v>
      </c>
      <c r="G39">
        <f t="shared" si="3"/>
        <v>1.6572675401761255E-2</v>
      </c>
    </row>
    <row r="40" spans="1:7" x14ac:dyDescent="0.2">
      <c r="A40">
        <f t="shared" si="4"/>
        <v>42</v>
      </c>
      <c r="B40">
        <f t="shared" si="5"/>
        <v>-0.19999999999999951</v>
      </c>
      <c r="D40" s="27">
        <f>D39</f>
        <v>0.3000000000000001</v>
      </c>
      <c r="E40">
        <f t="shared" si="2"/>
        <v>-3.4999999999999991</v>
      </c>
      <c r="G40">
        <f t="shared" si="3"/>
        <v>3.0197383422318529E-2</v>
      </c>
    </row>
    <row r="41" spans="1:7" x14ac:dyDescent="0.2">
      <c r="A41" s="97">
        <f>B19</f>
        <v>42.666666666666664</v>
      </c>
      <c r="B41" s="98">
        <f>C11</f>
        <v>0</v>
      </c>
      <c r="D41" s="27">
        <f>(B45-B41)/(A45-A41)</f>
        <v>0.15000000000000005</v>
      </c>
      <c r="E41">
        <f t="shared" si="2"/>
        <v>-3.3</v>
      </c>
      <c r="G41">
        <f t="shared" si="3"/>
        <v>3.6883167401240015E-2</v>
      </c>
    </row>
    <row r="42" spans="1:7" x14ac:dyDescent="0.2">
      <c r="A42">
        <f>A40+2</f>
        <v>44</v>
      </c>
      <c r="B42">
        <f>B41+(A42-A41)*D42</f>
        <v>0.20000000000000043</v>
      </c>
      <c r="D42" s="27">
        <f t="shared" ref="D42:D62" si="6">D41</f>
        <v>0.15000000000000005</v>
      </c>
      <c r="E42">
        <f t="shared" si="2"/>
        <v>-3.0999999999999992</v>
      </c>
      <c r="G42">
        <f t="shared" si="3"/>
        <v>4.5049202393557843E-2</v>
      </c>
    </row>
    <row r="43" spans="1:7" x14ac:dyDescent="0.2">
      <c r="A43">
        <f t="shared" si="4"/>
        <v>46</v>
      </c>
      <c r="B43">
        <f t="shared" ref="B43:B44" si="7">B42+(A43-A42)*D43</f>
        <v>0.50000000000000056</v>
      </c>
      <c r="D43" s="27">
        <f t="shared" si="6"/>
        <v>0.15000000000000005</v>
      </c>
      <c r="E43">
        <f t="shared" si="2"/>
        <v>-2.7999999999999994</v>
      </c>
      <c r="G43">
        <f t="shared" si="3"/>
        <v>6.0810062625218E-2</v>
      </c>
    </row>
    <row r="44" spans="1:7" x14ac:dyDescent="0.2">
      <c r="A44">
        <f t="shared" si="4"/>
        <v>48</v>
      </c>
      <c r="B44">
        <f t="shared" si="7"/>
        <v>0.80000000000000071</v>
      </c>
      <c r="D44" s="27">
        <f t="shared" si="6"/>
        <v>0.15000000000000005</v>
      </c>
      <c r="E44">
        <f t="shared" si="2"/>
        <v>-2.4999999999999991</v>
      </c>
      <c r="G44">
        <f t="shared" si="3"/>
        <v>8.2084998623898869E-2</v>
      </c>
    </row>
    <row r="45" spans="1:7" x14ac:dyDescent="0.2">
      <c r="A45" s="97">
        <f>C19</f>
        <v>49.333333333333329</v>
      </c>
      <c r="B45" s="98">
        <f>C12</f>
        <v>1</v>
      </c>
      <c r="D45" s="27">
        <f>(B50-B45)/(A50-A45)</f>
        <v>0.15000000000000005</v>
      </c>
      <c r="E45">
        <f t="shared" si="2"/>
        <v>-2.2999999999999998</v>
      </c>
      <c r="G45">
        <f t="shared" si="3"/>
        <v>0.10025884372280375</v>
      </c>
    </row>
    <row r="46" spans="1:7" x14ac:dyDescent="0.2">
      <c r="A46">
        <f>A44+2</f>
        <v>50</v>
      </c>
      <c r="B46">
        <f>B45+(A46-A45)*D46</f>
        <v>1.1000000000000008</v>
      </c>
      <c r="D46" s="27">
        <f t="shared" si="6"/>
        <v>0.15000000000000005</v>
      </c>
      <c r="E46">
        <f t="shared" si="2"/>
        <v>-2.1999999999999993</v>
      </c>
      <c r="G46">
        <f t="shared" si="3"/>
        <v>0.11080315836233397</v>
      </c>
    </row>
    <row r="47" spans="1:7" x14ac:dyDescent="0.2">
      <c r="A47">
        <f t="shared" si="4"/>
        <v>52</v>
      </c>
      <c r="B47">
        <f t="shared" ref="B47:B62" si="8">B46+(A47-A46)*D47</f>
        <v>1.4000000000000008</v>
      </c>
      <c r="D47" s="27">
        <f t="shared" si="6"/>
        <v>0.15000000000000005</v>
      </c>
      <c r="E47">
        <f t="shared" si="2"/>
        <v>-1.899999999999999</v>
      </c>
      <c r="G47">
        <f t="shared" si="3"/>
        <v>0.1495686192226352</v>
      </c>
    </row>
    <row r="48" spans="1:7" x14ac:dyDescent="0.2">
      <c r="A48">
        <f t="shared" si="4"/>
        <v>54</v>
      </c>
      <c r="B48">
        <f t="shared" si="8"/>
        <v>1.7000000000000008</v>
      </c>
      <c r="D48" s="27">
        <f t="shared" si="6"/>
        <v>0.15000000000000005</v>
      </c>
      <c r="E48">
        <f t="shared" si="2"/>
        <v>-1.599999999999999</v>
      </c>
      <c r="G48">
        <f t="shared" si="3"/>
        <v>0.20189651799465561</v>
      </c>
    </row>
    <row r="49" spans="1:7" x14ac:dyDescent="0.2">
      <c r="A49">
        <f t="shared" si="4"/>
        <v>56</v>
      </c>
      <c r="B49">
        <f t="shared" si="8"/>
        <v>2.0000000000000009</v>
      </c>
      <c r="D49" s="27">
        <f t="shared" si="6"/>
        <v>0.15000000000000005</v>
      </c>
      <c r="E49">
        <f t="shared" si="2"/>
        <v>-1.2999999999999989</v>
      </c>
      <c r="G49">
        <f t="shared" si="3"/>
        <v>0.27253179303401287</v>
      </c>
    </row>
    <row r="50" spans="1:7" x14ac:dyDescent="0.2">
      <c r="A50" s="97">
        <f>D19</f>
        <v>55.999999999999993</v>
      </c>
      <c r="B50" s="98">
        <f>C13</f>
        <v>2</v>
      </c>
      <c r="D50" s="27">
        <f>(B54-B50)/(A54-A50)</f>
        <v>0.19500000000000003</v>
      </c>
      <c r="E50">
        <f t="shared" si="2"/>
        <v>-1.2999999999999998</v>
      </c>
      <c r="G50">
        <f t="shared" si="3"/>
        <v>0.27253179303401265</v>
      </c>
    </row>
    <row r="51" spans="1:7" x14ac:dyDescent="0.2">
      <c r="A51">
        <f>A49+2</f>
        <v>58</v>
      </c>
      <c r="B51">
        <f t="shared" si="8"/>
        <v>2.3900000000000015</v>
      </c>
      <c r="D51" s="27">
        <f t="shared" si="6"/>
        <v>0.19500000000000003</v>
      </c>
      <c r="E51">
        <f t="shared" si="2"/>
        <v>-0.90999999999999837</v>
      </c>
      <c r="G51">
        <f t="shared" si="3"/>
        <v>0.40252422403363664</v>
      </c>
    </row>
    <row r="52" spans="1:7" x14ac:dyDescent="0.2">
      <c r="A52">
        <f t="shared" si="4"/>
        <v>60</v>
      </c>
      <c r="B52">
        <f t="shared" si="8"/>
        <v>2.7800000000000016</v>
      </c>
      <c r="D52" s="27">
        <f t="shared" si="6"/>
        <v>0.19500000000000003</v>
      </c>
      <c r="E52">
        <f t="shared" si="2"/>
        <v>-0.51999999999999824</v>
      </c>
      <c r="G52">
        <f t="shared" si="3"/>
        <v>0.59452054797019538</v>
      </c>
    </row>
    <row r="53" spans="1:7" x14ac:dyDescent="0.2">
      <c r="A53">
        <f t="shared" si="4"/>
        <v>62</v>
      </c>
      <c r="B53">
        <f t="shared" si="8"/>
        <v>3.1700000000000017</v>
      </c>
      <c r="D53" s="27">
        <f t="shared" si="6"/>
        <v>0.19500000000000003</v>
      </c>
      <c r="E53">
        <f t="shared" si="2"/>
        <v>-0.12999999999999812</v>
      </c>
      <c r="G53">
        <f t="shared" si="3"/>
        <v>0.87809543092056297</v>
      </c>
    </row>
    <row r="54" spans="1:7" x14ac:dyDescent="0.2">
      <c r="A54" s="97">
        <f>E19</f>
        <v>62.666666666666657</v>
      </c>
      <c r="B54" s="98">
        <f>C14</f>
        <v>3.3</v>
      </c>
      <c r="D54" s="27">
        <f>(B58-B54)/(A58-A54)</f>
        <v>-1.4999999999999935E-2</v>
      </c>
      <c r="E54">
        <f t="shared" si="2"/>
        <v>0</v>
      </c>
      <c r="G54">
        <f t="shared" si="3"/>
        <v>1</v>
      </c>
    </row>
    <row r="55" spans="1:7" x14ac:dyDescent="0.2">
      <c r="A55">
        <f>A53+2</f>
        <v>64</v>
      </c>
      <c r="B55">
        <f t="shared" si="8"/>
        <v>3.28</v>
      </c>
      <c r="D55" s="27">
        <f t="shared" si="6"/>
        <v>-1.4999999999999935E-2</v>
      </c>
      <c r="E55">
        <f t="shared" si="2"/>
        <v>-2.0000000000000018E-2</v>
      </c>
      <c r="G55">
        <f t="shared" si="3"/>
        <v>0.98019867330675525</v>
      </c>
    </row>
    <row r="56" spans="1:7" x14ac:dyDescent="0.2">
      <c r="A56">
        <f t="shared" si="4"/>
        <v>66</v>
      </c>
      <c r="B56">
        <f t="shared" si="8"/>
        <v>3.25</v>
      </c>
      <c r="D56" s="27">
        <f t="shared" si="6"/>
        <v>-1.4999999999999935E-2</v>
      </c>
      <c r="E56">
        <f t="shared" si="2"/>
        <v>-4.9999999999999822E-2</v>
      </c>
      <c r="G56">
        <f t="shared" si="3"/>
        <v>0.95122942450071413</v>
      </c>
    </row>
    <row r="57" spans="1:7" x14ac:dyDescent="0.2">
      <c r="A57">
        <f t="shared" si="4"/>
        <v>68</v>
      </c>
      <c r="B57">
        <f t="shared" si="8"/>
        <v>3.22</v>
      </c>
      <c r="D57" s="27">
        <f t="shared" si="6"/>
        <v>-1.4999999999999935E-2</v>
      </c>
      <c r="E57">
        <f t="shared" si="2"/>
        <v>-7.9999999999999627E-2</v>
      </c>
      <c r="G57">
        <f t="shared" si="3"/>
        <v>0.92311634638663609</v>
      </c>
    </row>
    <row r="58" spans="1:7" x14ac:dyDescent="0.2">
      <c r="A58" s="97">
        <f>F19</f>
        <v>69.333333333333329</v>
      </c>
      <c r="B58" s="98">
        <f>C15</f>
        <v>3.2</v>
      </c>
      <c r="D58" s="27">
        <f>(B63-B58)/(A63-A58)</f>
        <v>-3.0000000000000006E-2</v>
      </c>
      <c r="E58">
        <f t="shared" si="2"/>
        <v>-9.9999999999999645E-2</v>
      </c>
      <c r="G58">
        <f t="shared" si="3"/>
        <v>0.90483741803595985</v>
      </c>
    </row>
    <row r="59" spans="1:7" x14ac:dyDescent="0.2">
      <c r="A59">
        <f>A57+2</f>
        <v>70</v>
      </c>
      <c r="B59">
        <f t="shared" si="8"/>
        <v>3.18</v>
      </c>
      <c r="D59" s="27">
        <f t="shared" si="6"/>
        <v>-3.0000000000000006E-2</v>
      </c>
      <c r="E59">
        <f t="shared" si="2"/>
        <v>-0.11999999999999966</v>
      </c>
      <c r="G59">
        <f t="shared" si="3"/>
        <v>0.88692043671715781</v>
      </c>
    </row>
    <row r="60" spans="1:7" x14ac:dyDescent="0.2">
      <c r="A60">
        <f t="shared" si="4"/>
        <v>72</v>
      </c>
      <c r="B60">
        <f t="shared" si="8"/>
        <v>3.12</v>
      </c>
      <c r="D60" s="27">
        <f t="shared" si="6"/>
        <v>-3.0000000000000006E-2</v>
      </c>
      <c r="E60">
        <f t="shared" si="2"/>
        <v>-0.17999999999999972</v>
      </c>
      <c r="G60">
        <f t="shared" si="3"/>
        <v>0.83527021141127222</v>
      </c>
    </row>
    <row r="61" spans="1:7" x14ac:dyDescent="0.2">
      <c r="A61">
        <f t="shared" si="4"/>
        <v>74</v>
      </c>
      <c r="B61">
        <f t="shared" si="8"/>
        <v>3.06</v>
      </c>
      <c r="D61" s="27">
        <f t="shared" si="6"/>
        <v>-3.0000000000000006E-2</v>
      </c>
      <c r="E61">
        <f t="shared" si="2"/>
        <v>-0.23999999999999977</v>
      </c>
      <c r="G61">
        <f t="shared" si="3"/>
        <v>0.78662786106655358</v>
      </c>
    </row>
    <row r="62" spans="1:7" x14ac:dyDescent="0.2">
      <c r="A62">
        <f t="shared" si="4"/>
        <v>76</v>
      </c>
      <c r="B62">
        <f t="shared" si="8"/>
        <v>3</v>
      </c>
      <c r="D62" s="27">
        <f t="shared" si="6"/>
        <v>-3.0000000000000006E-2</v>
      </c>
      <c r="E62">
        <f t="shared" si="2"/>
        <v>-0.29999999999999982</v>
      </c>
      <c r="G62">
        <f t="shared" si="3"/>
        <v>0.74081822068171799</v>
      </c>
    </row>
    <row r="63" spans="1:7" x14ac:dyDescent="0.2">
      <c r="A63" s="97">
        <f>G19</f>
        <v>76</v>
      </c>
      <c r="B63" s="98">
        <f>C16</f>
        <v>3</v>
      </c>
      <c r="C63" t="s">
        <v>101</v>
      </c>
      <c r="E63">
        <f t="shared" si="2"/>
        <v>-0.29999999999999982</v>
      </c>
      <c r="G63">
        <f t="shared" si="3"/>
        <v>0.74081822068171799</v>
      </c>
    </row>
    <row r="64" spans="1:7" x14ac:dyDescent="0.2">
      <c r="A64">
        <f>A62+2</f>
        <v>78</v>
      </c>
      <c r="B64">
        <f>B63</f>
        <v>3</v>
      </c>
      <c r="C64" t="s">
        <v>102</v>
      </c>
      <c r="E64">
        <f t="shared" si="2"/>
        <v>-0.29999999999999982</v>
      </c>
      <c r="G64">
        <f t="shared" si="3"/>
        <v>0.74081822068171799</v>
      </c>
    </row>
    <row r="65" spans="1:7" x14ac:dyDescent="0.2">
      <c r="A65">
        <f t="shared" si="4"/>
        <v>80</v>
      </c>
      <c r="B65">
        <f t="shared" ref="B65:B68" si="9">B64</f>
        <v>3</v>
      </c>
      <c r="C65" t="s">
        <v>102</v>
      </c>
      <c r="E65">
        <f t="shared" si="2"/>
        <v>-0.29999999999999982</v>
      </c>
      <c r="G65">
        <f t="shared" si="3"/>
        <v>0.74081822068171799</v>
      </c>
    </row>
    <row r="66" spans="1:7" x14ac:dyDescent="0.2">
      <c r="A66">
        <f t="shared" si="4"/>
        <v>82</v>
      </c>
      <c r="B66">
        <f t="shared" si="9"/>
        <v>3</v>
      </c>
      <c r="C66" t="s">
        <v>102</v>
      </c>
      <c r="E66">
        <f t="shared" si="2"/>
        <v>-0.29999999999999982</v>
      </c>
      <c r="G66">
        <f t="shared" si="3"/>
        <v>0.74081822068171799</v>
      </c>
    </row>
    <row r="67" spans="1:7" x14ac:dyDescent="0.2">
      <c r="A67">
        <f t="shared" si="4"/>
        <v>84</v>
      </c>
      <c r="B67">
        <f t="shared" si="9"/>
        <v>3</v>
      </c>
      <c r="C67" t="s">
        <v>102</v>
      </c>
      <c r="E67">
        <f t="shared" si="2"/>
        <v>-0.29999999999999982</v>
      </c>
      <c r="G67">
        <f t="shared" si="3"/>
        <v>0.74081822068171799</v>
      </c>
    </row>
    <row r="68" spans="1:7" x14ac:dyDescent="0.2">
      <c r="A68">
        <f t="shared" si="4"/>
        <v>86</v>
      </c>
      <c r="B68">
        <f t="shared" si="9"/>
        <v>3</v>
      </c>
      <c r="C68" t="s">
        <v>102</v>
      </c>
      <c r="E68">
        <f t="shared" si="2"/>
        <v>-0.29999999999999982</v>
      </c>
      <c r="G68">
        <f t="shared" si="3"/>
        <v>0.74081822068171799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2"/>
  <sheetViews>
    <sheetView workbookViewId="0">
      <selection activeCell="L5" sqref="L5"/>
    </sheetView>
  </sheetViews>
  <sheetFormatPr defaultRowHeight="12.75" x14ac:dyDescent="0.2"/>
  <cols>
    <col min="1" max="1" width="56.28515625" style="55" bestFit="1" customWidth="1"/>
    <col min="2" max="2" width="10" style="55" bestFit="1" customWidth="1"/>
    <col min="3" max="4" width="11.140625" style="55" bestFit="1" customWidth="1"/>
    <col min="5" max="5" width="7.85546875" style="55" customWidth="1"/>
    <col min="6" max="6" width="8" style="55" customWidth="1"/>
    <col min="7" max="7" width="9" style="55" customWidth="1"/>
    <col min="8" max="256" width="9.140625" style="55"/>
    <col min="257" max="257" width="56.28515625" style="55" bestFit="1" customWidth="1"/>
    <col min="258" max="258" width="10" style="55" bestFit="1" customWidth="1"/>
    <col min="259" max="260" width="11.140625" style="55" bestFit="1" customWidth="1"/>
    <col min="261" max="261" width="7.85546875" style="55" customWidth="1"/>
    <col min="262" max="262" width="8" style="55" customWidth="1"/>
    <col min="263" max="263" width="9" style="55" customWidth="1"/>
    <col min="264" max="512" width="9.140625" style="55"/>
    <col min="513" max="513" width="56.28515625" style="55" bestFit="1" customWidth="1"/>
    <col min="514" max="514" width="10" style="55" bestFit="1" customWidth="1"/>
    <col min="515" max="516" width="11.140625" style="55" bestFit="1" customWidth="1"/>
    <col min="517" max="517" width="7.85546875" style="55" customWidth="1"/>
    <col min="518" max="518" width="8" style="55" customWidth="1"/>
    <col min="519" max="519" width="9" style="55" customWidth="1"/>
    <col min="520" max="768" width="9.140625" style="55"/>
    <col min="769" max="769" width="56.28515625" style="55" bestFit="1" customWidth="1"/>
    <col min="770" max="770" width="10" style="55" bestFit="1" customWidth="1"/>
    <col min="771" max="772" width="11.140625" style="55" bestFit="1" customWidth="1"/>
    <col min="773" max="773" width="7.85546875" style="55" customWidth="1"/>
    <col min="774" max="774" width="8" style="55" customWidth="1"/>
    <col min="775" max="775" width="9" style="55" customWidth="1"/>
    <col min="776" max="1024" width="9.140625" style="55"/>
    <col min="1025" max="1025" width="56.28515625" style="55" bestFit="1" customWidth="1"/>
    <col min="1026" max="1026" width="10" style="55" bestFit="1" customWidth="1"/>
    <col min="1027" max="1028" width="11.140625" style="55" bestFit="1" customWidth="1"/>
    <col min="1029" max="1029" width="7.85546875" style="55" customWidth="1"/>
    <col min="1030" max="1030" width="8" style="55" customWidth="1"/>
    <col min="1031" max="1031" width="9" style="55" customWidth="1"/>
    <col min="1032" max="1280" width="9.140625" style="55"/>
    <col min="1281" max="1281" width="56.28515625" style="55" bestFit="1" customWidth="1"/>
    <col min="1282" max="1282" width="10" style="55" bestFit="1" customWidth="1"/>
    <col min="1283" max="1284" width="11.140625" style="55" bestFit="1" customWidth="1"/>
    <col min="1285" max="1285" width="7.85546875" style="55" customWidth="1"/>
    <col min="1286" max="1286" width="8" style="55" customWidth="1"/>
    <col min="1287" max="1287" width="9" style="55" customWidth="1"/>
    <col min="1288" max="1536" width="9.140625" style="55"/>
    <col min="1537" max="1537" width="56.28515625" style="55" bestFit="1" customWidth="1"/>
    <col min="1538" max="1538" width="10" style="55" bestFit="1" customWidth="1"/>
    <col min="1539" max="1540" width="11.140625" style="55" bestFit="1" customWidth="1"/>
    <col min="1541" max="1541" width="7.85546875" style="55" customWidth="1"/>
    <col min="1542" max="1542" width="8" style="55" customWidth="1"/>
    <col min="1543" max="1543" width="9" style="55" customWidth="1"/>
    <col min="1544" max="1792" width="9.140625" style="55"/>
    <col min="1793" max="1793" width="56.28515625" style="55" bestFit="1" customWidth="1"/>
    <col min="1794" max="1794" width="10" style="55" bestFit="1" customWidth="1"/>
    <col min="1795" max="1796" width="11.140625" style="55" bestFit="1" customWidth="1"/>
    <col min="1797" max="1797" width="7.85546875" style="55" customWidth="1"/>
    <col min="1798" max="1798" width="8" style="55" customWidth="1"/>
    <col min="1799" max="1799" width="9" style="55" customWidth="1"/>
    <col min="1800" max="2048" width="9.140625" style="55"/>
    <col min="2049" max="2049" width="56.28515625" style="55" bestFit="1" customWidth="1"/>
    <col min="2050" max="2050" width="10" style="55" bestFit="1" customWidth="1"/>
    <col min="2051" max="2052" width="11.140625" style="55" bestFit="1" customWidth="1"/>
    <col min="2053" max="2053" width="7.85546875" style="55" customWidth="1"/>
    <col min="2054" max="2054" width="8" style="55" customWidth="1"/>
    <col min="2055" max="2055" width="9" style="55" customWidth="1"/>
    <col min="2056" max="2304" width="9.140625" style="55"/>
    <col min="2305" max="2305" width="56.28515625" style="55" bestFit="1" customWidth="1"/>
    <col min="2306" max="2306" width="10" style="55" bestFit="1" customWidth="1"/>
    <col min="2307" max="2308" width="11.140625" style="55" bestFit="1" customWidth="1"/>
    <col min="2309" max="2309" width="7.85546875" style="55" customWidth="1"/>
    <col min="2310" max="2310" width="8" style="55" customWidth="1"/>
    <col min="2311" max="2311" width="9" style="55" customWidth="1"/>
    <col min="2312" max="2560" width="9.140625" style="55"/>
    <col min="2561" max="2561" width="56.28515625" style="55" bestFit="1" customWidth="1"/>
    <col min="2562" max="2562" width="10" style="55" bestFit="1" customWidth="1"/>
    <col min="2563" max="2564" width="11.140625" style="55" bestFit="1" customWidth="1"/>
    <col min="2565" max="2565" width="7.85546875" style="55" customWidth="1"/>
    <col min="2566" max="2566" width="8" style="55" customWidth="1"/>
    <col min="2567" max="2567" width="9" style="55" customWidth="1"/>
    <col min="2568" max="2816" width="9.140625" style="55"/>
    <col min="2817" max="2817" width="56.28515625" style="55" bestFit="1" customWidth="1"/>
    <col min="2818" max="2818" width="10" style="55" bestFit="1" customWidth="1"/>
    <col min="2819" max="2820" width="11.140625" style="55" bestFit="1" customWidth="1"/>
    <col min="2821" max="2821" width="7.85546875" style="55" customWidth="1"/>
    <col min="2822" max="2822" width="8" style="55" customWidth="1"/>
    <col min="2823" max="2823" width="9" style="55" customWidth="1"/>
    <col min="2824" max="3072" width="9.140625" style="55"/>
    <col min="3073" max="3073" width="56.28515625" style="55" bestFit="1" customWidth="1"/>
    <col min="3074" max="3074" width="10" style="55" bestFit="1" customWidth="1"/>
    <col min="3075" max="3076" width="11.140625" style="55" bestFit="1" customWidth="1"/>
    <col min="3077" max="3077" width="7.85546875" style="55" customWidth="1"/>
    <col min="3078" max="3078" width="8" style="55" customWidth="1"/>
    <col min="3079" max="3079" width="9" style="55" customWidth="1"/>
    <col min="3080" max="3328" width="9.140625" style="55"/>
    <col min="3329" max="3329" width="56.28515625" style="55" bestFit="1" customWidth="1"/>
    <col min="3330" max="3330" width="10" style="55" bestFit="1" customWidth="1"/>
    <col min="3331" max="3332" width="11.140625" style="55" bestFit="1" customWidth="1"/>
    <col min="3333" max="3333" width="7.85546875" style="55" customWidth="1"/>
    <col min="3334" max="3334" width="8" style="55" customWidth="1"/>
    <col min="3335" max="3335" width="9" style="55" customWidth="1"/>
    <col min="3336" max="3584" width="9.140625" style="55"/>
    <col min="3585" max="3585" width="56.28515625" style="55" bestFit="1" customWidth="1"/>
    <col min="3586" max="3586" width="10" style="55" bestFit="1" customWidth="1"/>
    <col min="3587" max="3588" width="11.140625" style="55" bestFit="1" customWidth="1"/>
    <col min="3589" max="3589" width="7.85546875" style="55" customWidth="1"/>
    <col min="3590" max="3590" width="8" style="55" customWidth="1"/>
    <col min="3591" max="3591" width="9" style="55" customWidth="1"/>
    <col min="3592" max="3840" width="9.140625" style="55"/>
    <col min="3841" max="3841" width="56.28515625" style="55" bestFit="1" customWidth="1"/>
    <col min="3842" max="3842" width="10" style="55" bestFit="1" customWidth="1"/>
    <col min="3843" max="3844" width="11.140625" style="55" bestFit="1" customWidth="1"/>
    <col min="3845" max="3845" width="7.85546875" style="55" customWidth="1"/>
    <col min="3846" max="3846" width="8" style="55" customWidth="1"/>
    <col min="3847" max="3847" width="9" style="55" customWidth="1"/>
    <col min="3848" max="4096" width="9.140625" style="55"/>
    <col min="4097" max="4097" width="56.28515625" style="55" bestFit="1" customWidth="1"/>
    <col min="4098" max="4098" width="10" style="55" bestFit="1" customWidth="1"/>
    <col min="4099" max="4100" width="11.140625" style="55" bestFit="1" customWidth="1"/>
    <col min="4101" max="4101" width="7.85546875" style="55" customWidth="1"/>
    <col min="4102" max="4102" width="8" style="55" customWidth="1"/>
    <col min="4103" max="4103" width="9" style="55" customWidth="1"/>
    <col min="4104" max="4352" width="9.140625" style="55"/>
    <col min="4353" max="4353" width="56.28515625" style="55" bestFit="1" customWidth="1"/>
    <col min="4354" max="4354" width="10" style="55" bestFit="1" customWidth="1"/>
    <col min="4355" max="4356" width="11.140625" style="55" bestFit="1" customWidth="1"/>
    <col min="4357" max="4357" width="7.85546875" style="55" customWidth="1"/>
    <col min="4358" max="4358" width="8" style="55" customWidth="1"/>
    <col min="4359" max="4359" width="9" style="55" customWidth="1"/>
    <col min="4360" max="4608" width="9.140625" style="55"/>
    <col min="4609" max="4609" width="56.28515625" style="55" bestFit="1" customWidth="1"/>
    <col min="4610" max="4610" width="10" style="55" bestFit="1" customWidth="1"/>
    <col min="4611" max="4612" width="11.140625" style="55" bestFit="1" customWidth="1"/>
    <col min="4613" max="4613" width="7.85546875" style="55" customWidth="1"/>
    <col min="4614" max="4614" width="8" style="55" customWidth="1"/>
    <col min="4615" max="4615" width="9" style="55" customWidth="1"/>
    <col min="4616" max="4864" width="9.140625" style="55"/>
    <col min="4865" max="4865" width="56.28515625" style="55" bestFit="1" customWidth="1"/>
    <col min="4866" max="4866" width="10" style="55" bestFit="1" customWidth="1"/>
    <col min="4867" max="4868" width="11.140625" style="55" bestFit="1" customWidth="1"/>
    <col min="4869" max="4869" width="7.85546875" style="55" customWidth="1"/>
    <col min="4870" max="4870" width="8" style="55" customWidth="1"/>
    <col min="4871" max="4871" width="9" style="55" customWidth="1"/>
    <col min="4872" max="5120" width="9.140625" style="55"/>
    <col min="5121" max="5121" width="56.28515625" style="55" bestFit="1" customWidth="1"/>
    <col min="5122" max="5122" width="10" style="55" bestFit="1" customWidth="1"/>
    <col min="5123" max="5124" width="11.140625" style="55" bestFit="1" customWidth="1"/>
    <col min="5125" max="5125" width="7.85546875" style="55" customWidth="1"/>
    <col min="5126" max="5126" width="8" style="55" customWidth="1"/>
    <col min="5127" max="5127" width="9" style="55" customWidth="1"/>
    <col min="5128" max="5376" width="9.140625" style="55"/>
    <col min="5377" max="5377" width="56.28515625" style="55" bestFit="1" customWidth="1"/>
    <col min="5378" max="5378" width="10" style="55" bestFit="1" customWidth="1"/>
    <col min="5379" max="5380" width="11.140625" style="55" bestFit="1" customWidth="1"/>
    <col min="5381" max="5381" width="7.85546875" style="55" customWidth="1"/>
    <col min="5382" max="5382" width="8" style="55" customWidth="1"/>
    <col min="5383" max="5383" width="9" style="55" customWidth="1"/>
    <col min="5384" max="5632" width="9.140625" style="55"/>
    <col min="5633" max="5633" width="56.28515625" style="55" bestFit="1" customWidth="1"/>
    <col min="5634" max="5634" width="10" style="55" bestFit="1" customWidth="1"/>
    <col min="5635" max="5636" width="11.140625" style="55" bestFit="1" customWidth="1"/>
    <col min="5637" max="5637" width="7.85546875" style="55" customWidth="1"/>
    <col min="5638" max="5638" width="8" style="55" customWidth="1"/>
    <col min="5639" max="5639" width="9" style="55" customWidth="1"/>
    <col min="5640" max="5888" width="9.140625" style="55"/>
    <col min="5889" max="5889" width="56.28515625" style="55" bestFit="1" customWidth="1"/>
    <col min="5890" max="5890" width="10" style="55" bestFit="1" customWidth="1"/>
    <col min="5891" max="5892" width="11.140625" style="55" bestFit="1" customWidth="1"/>
    <col min="5893" max="5893" width="7.85546875" style="55" customWidth="1"/>
    <col min="5894" max="5894" width="8" style="55" customWidth="1"/>
    <col min="5895" max="5895" width="9" style="55" customWidth="1"/>
    <col min="5896" max="6144" width="9.140625" style="55"/>
    <col min="6145" max="6145" width="56.28515625" style="55" bestFit="1" customWidth="1"/>
    <col min="6146" max="6146" width="10" style="55" bestFit="1" customWidth="1"/>
    <col min="6147" max="6148" width="11.140625" style="55" bestFit="1" customWidth="1"/>
    <col min="6149" max="6149" width="7.85546875" style="55" customWidth="1"/>
    <col min="6150" max="6150" width="8" style="55" customWidth="1"/>
    <col min="6151" max="6151" width="9" style="55" customWidth="1"/>
    <col min="6152" max="6400" width="9.140625" style="55"/>
    <col min="6401" max="6401" width="56.28515625" style="55" bestFit="1" customWidth="1"/>
    <col min="6402" max="6402" width="10" style="55" bestFit="1" customWidth="1"/>
    <col min="6403" max="6404" width="11.140625" style="55" bestFit="1" customWidth="1"/>
    <col min="6405" max="6405" width="7.85546875" style="55" customWidth="1"/>
    <col min="6406" max="6406" width="8" style="55" customWidth="1"/>
    <col min="6407" max="6407" width="9" style="55" customWidth="1"/>
    <col min="6408" max="6656" width="9.140625" style="55"/>
    <col min="6657" max="6657" width="56.28515625" style="55" bestFit="1" customWidth="1"/>
    <col min="6658" max="6658" width="10" style="55" bestFit="1" customWidth="1"/>
    <col min="6659" max="6660" width="11.140625" style="55" bestFit="1" customWidth="1"/>
    <col min="6661" max="6661" width="7.85546875" style="55" customWidth="1"/>
    <col min="6662" max="6662" width="8" style="55" customWidth="1"/>
    <col min="6663" max="6663" width="9" style="55" customWidth="1"/>
    <col min="6664" max="6912" width="9.140625" style="55"/>
    <col min="6913" max="6913" width="56.28515625" style="55" bestFit="1" customWidth="1"/>
    <col min="6914" max="6914" width="10" style="55" bestFit="1" customWidth="1"/>
    <col min="6915" max="6916" width="11.140625" style="55" bestFit="1" customWidth="1"/>
    <col min="6917" max="6917" width="7.85546875" style="55" customWidth="1"/>
    <col min="6918" max="6918" width="8" style="55" customWidth="1"/>
    <col min="6919" max="6919" width="9" style="55" customWidth="1"/>
    <col min="6920" max="7168" width="9.140625" style="55"/>
    <col min="7169" max="7169" width="56.28515625" style="55" bestFit="1" customWidth="1"/>
    <col min="7170" max="7170" width="10" style="55" bestFit="1" customWidth="1"/>
    <col min="7171" max="7172" width="11.140625" style="55" bestFit="1" customWidth="1"/>
    <col min="7173" max="7173" width="7.85546875" style="55" customWidth="1"/>
    <col min="7174" max="7174" width="8" style="55" customWidth="1"/>
    <col min="7175" max="7175" width="9" style="55" customWidth="1"/>
    <col min="7176" max="7424" width="9.140625" style="55"/>
    <col min="7425" max="7425" width="56.28515625" style="55" bestFit="1" customWidth="1"/>
    <col min="7426" max="7426" width="10" style="55" bestFit="1" customWidth="1"/>
    <col min="7427" max="7428" width="11.140625" style="55" bestFit="1" customWidth="1"/>
    <col min="7429" max="7429" width="7.85546875" style="55" customWidth="1"/>
    <col min="7430" max="7430" width="8" style="55" customWidth="1"/>
    <col min="7431" max="7431" width="9" style="55" customWidth="1"/>
    <col min="7432" max="7680" width="9.140625" style="55"/>
    <col min="7681" max="7681" width="56.28515625" style="55" bestFit="1" customWidth="1"/>
    <col min="7682" max="7682" width="10" style="55" bestFit="1" customWidth="1"/>
    <col min="7683" max="7684" width="11.140625" style="55" bestFit="1" customWidth="1"/>
    <col min="7685" max="7685" width="7.85546875" style="55" customWidth="1"/>
    <col min="7686" max="7686" width="8" style="55" customWidth="1"/>
    <col min="7687" max="7687" width="9" style="55" customWidth="1"/>
    <col min="7688" max="7936" width="9.140625" style="55"/>
    <col min="7937" max="7937" width="56.28515625" style="55" bestFit="1" customWidth="1"/>
    <col min="7938" max="7938" width="10" style="55" bestFit="1" customWidth="1"/>
    <col min="7939" max="7940" width="11.140625" style="55" bestFit="1" customWidth="1"/>
    <col min="7941" max="7941" width="7.85546875" style="55" customWidth="1"/>
    <col min="7942" max="7942" width="8" style="55" customWidth="1"/>
    <col min="7943" max="7943" width="9" style="55" customWidth="1"/>
    <col min="7944" max="8192" width="9.140625" style="55"/>
    <col min="8193" max="8193" width="56.28515625" style="55" bestFit="1" customWidth="1"/>
    <col min="8194" max="8194" width="10" style="55" bestFit="1" customWidth="1"/>
    <col min="8195" max="8196" width="11.140625" style="55" bestFit="1" customWidth="1"/>
    <col min="8197" max="8197" width="7.85546875" style="55" customWidth="1"/>
    <col min="8198" max="8198" width="8" style="55" customWidth="1"/>
    <col min="8199" max="8199" width="9" style="55" customWidth="1"/>
    <col min="8200" max="8448" width="9.140625" style="55"/>
    <col min="8449" max="8449" width="56.28515625" style="55" bestFit="1" customWidth="1"/>
    <col min="8450" max="8450" width="10" style="55" bestFit="1" customWidth="1"/>
    <col min="8451" max="8452" width="11.140625" style="55" bestFit="1" customWidth="1"/>
    <col min="8453" max="8453" width="7.85546875" style="55" customWidth="1"/>
    <col min="8454" max="8454" width="8" style="55" customWidth="1"/>
    <col min="8455" max="8455" width="9" style="55" customWidth="1"/>
    <col min="8456" max="8704" width="9.140625" style="55"/>
    <col min="8705" max="8705" width="56.28515625" style="55" bestFit="1" customWidth="1"/>
    <col min="8706" max="8706" width="10" style="55" bestFit="1" customWidth="1"/>
    <col min="8707" max="8708" width="11.140625" style="55" bestFit="1" customWidth="1"/>
    <col min="8709" max="8709" width="7.85546875" style="55" customWidth="1"/>
    <col min="8710" max="8710" width="8" style="55" customWidth="1"/>
    <col min="8711" max="8711" width="9" style="55" customWidth="1"/>
    <col min="8712" max="8960" width="9.140625" style="55"/>
    <col min="8961" max="8961" width="56.28515625" style="55" bestFit="1" customWidth="1"/>
    <col min="8962" max="8962" width="10" style="55" bestFit="1" customWidth="1"/>
    <col min="8963" max="8964" width="11.140625" style="55" bestFit="1" customWidth="1"/>
    <col min="8965" max="8965" width="7.85546875" style="55" customWidth="1"/>
    <col min="8966" max="8966" width="8" style="55" customWidth="1"/>
    <col min="8967" max="8967" width="9" style="55" customWidth="1"/>
    <col min="8968" max="9216" width="9.140625" style="55"/>
    <col min="9217" max="9217" width="56.28515625" style="55" bestFit="1" customWidth="1"/>
    <col min="9218" max="9218" width="10" style="55" bestFit="1" customWidth="1"/>
    <col min="9219" max="9220" width="11.140625" style="55" bestFit="1" customWidth="1"/>
    <col min="9221" max="9221" width="7.85546875" style="55" customWidth="1"/>
    <col min="9222" max="9222" width="8" style="55" customWidth="1"/>
    <col min="9223" max="9223" width="9" style="55" customWidth="1"/>
    <col min="9224" max="9472" width="9.140625" style="55"/>
    <col min="9473" max="9473" width="56.28515625" style="55" bestFit="1" customWidth="1"/>
    <col min="9474" max="9474" width="10" style="55" bestFit="1" customWidth="1"/>
    <col min="9475" max="9476" width="11.140625" style="55" bestFit="1" customWidth="1"/>
    <col min="9477" max="9477" width="7.85546875" style="55" customWidth="1"/>
    <col min="9478" max="9478" width="8" style="55" customWidth="1"/>
    <col min="9479" max="9479" width="9" style="55" customWidth="1"/>
    <col min="9480" max="9728" width="9.140625" style="55"/>
    <col min="9729" max="9729" width="56.28515625" style="55" bestFit="1" customWidth="1"/>
    <col min="9730" max="9730" width="10" style="55" bestFit="1" customWidth="1"/>
    <col min="9731" max="9732" width="11.140625" style="55" bestFit="1" customWidth="1"/>
    <col min="9733" max="9733" width="7.85546875" style="55" customWidth="1"/>
    <col min="9734" max="9734" width="8" style="55" customWidth="1"/>
    <col min="9735" max="9735" width="9" style="55" customWidth="1"/>
    <col min="9736" max="9984" width="9.140625" style="55"/>
    <col min="9985" max="9985" width="56.28515625" style="55" bestFit="1" customWidth="1"/>
    <col min="9986" max="9986" width="10" style="55" bestFit="1" customWidth="1"/>
    <col min="9987" max="9988" width="11.140625" style="55" bestFit="1" customWidth="1"/>
    <col min="9989" max="9989" width="7.85546875" style="55" customWidth="1"/>
    <col min="9990" max="9990" width="8" style="55" customWidth="1"/>
    <col min="9991" max="9991" width="9" style="55" customWidth="1"/>
    <col min="9992" max="10240" width="9.140625" style="55"/>
    <col min="10241" max="10241" width="56.28515625" style="55" bestFit="1" customWidth="1"/>
    <col min="10242" max="10242" width="10" style="55" bestFit="1" customWidth="1"/>
    <col min="10243" max="10244" width="11.140625" style="55" bestFit="1" customWidth="1"/>
    <col min="10245" max="10245" width="7.85546875" style="55" customWidth="1"/>
    <col min="10246" max="10246" width="8" style="55" customWidth="1"/>
    <col min="10247" max="10247" width="9" style="55" customWidth="1"/>
    <col min="10248" max="10496" width="9.140625" style="55"/>
    <col min="10497" max="10497" width="56.28515625" style="55" bestFit="1" customWidth="1"/>
    <col min="10498" max="10498" width="10" style="55" bestFit="1" customWidth="1"/>
    <col min="10499" max="10500" width="11.140625" style="55" bestFit="1" customWidth="1"/>
    <col min="10501" max="10501" width="7.85546875" style="55" customWidth="1"/>
    <col min="10502" max="10502" width="8" style="55" customWidth="1"/>
    <col min="10503" max="10503" width="9" style="55" customWidth="1"/>
    <col min="10504" max="10752" width="9.140625" style="55"/>
    <col min="10753" max="10753" width="56.28515625" style="55" bestFit="1" customWidth="1"/>
    <col min="10754" max="10754" width="10" style="55" bestFit="1" customWidth="1"/>
    <col min="10755" max="10756" width="11.140625" style="55" bestFit="1" customWidth="1"/>
    <col min="10757" max="10757" width="7.85546875" style="55" customWidth="1"/>
    <col min="10758" max="10758" width="8" style="55" customWidth="1"/>
    <col min="10759" max="10759" width="9" style="55" customWidth="1"/>
    <col min="10760" max="11008" width="9.140625" style="55"/>
    <col min="11009" max="11009" width="56.28515625" style="55" bestFit="1" customWidth="1"/>
    <col min="11010" max="11010" width="10" style="55" bestFit="1" customWidth="1"/>
    <col min="11011" max="11012" width="11.140625" style="55" bestFit="1" customWidth="1"/>
    <col min="11013" max="11013" width="7.85546875" style="55" customWidth="1"/>
    <col min="11014" max="11014" width="8" style="55" customWidth="1"/>
    <col min="11015" max="11015" width="9" style="55" customWidth="1"/>
    <col min="11016" max="11264" width="9.140625" style="55"/>
    <col min="11265" max="11265" width="56.28515625" style="55" bestFit="1" customWidth="1"/>
    <col min="11266" max="11266" width="10" style="55" bestFit="1" customWidth="1"/>
    <col min="11267" max="11268" width="11.140625" style="55" bestFit="1" customWidth="1"/>
    <col min="11269" max="11269" width="7.85546875" style="55" customWidth="1"/>
    <col min="11270" max="11270" width="8" style="55" customWidth="1"/>
    <col min="11271" max="11271" width="9" style="55" customWidth="1"/>
    <col min="11272" max="11520" width="9.140625" style="55"/>
    <col min="11521" max="11521" width="56.28515625" style="55" bestFit="1" customWidth="1"/>
    <col min="11522" max="11522" width="10" style="55" bestFit="1" customWidth="1"/>
    <col min="11523" max="11524" width="11.140625" style="55" bestFit="1" customWidth="1"/>
    <col min="11525" max="11525" width="7.85546875" style="55" customWidth="1"/>
    <col min="11526" max="11526" width="8" style="55" customWidth="1"/>
    <col min="11527" max="11527" width="9" style="55" customWidth="1"/>
    <col min="11528" max="11776" width="9.140625" style="55"/>
    <col min="11777" max="11777" width="56.28515625" style="55" bestFit="1" customWidth="1"/>
    <col min="11778" max="11778" width="10" style="55" bestFit="1" customWidth="1"/>
    <col min="11779" max="11780" width="11.140625" style="55" bestFit="1" customWidth="1"/>
    <col min="11781" max="11781" width="7.85546875" style="55" customWidth="1"/>
    <col min="11782" max="11782" width="8" style="55" customWidth="1"/>
    <col min="11783" max="11783" width="9" style="55" customWidth="1"/>
    <col min="11784" max="12032" width="9.140625" style="55"/>
    <col min="12033" max="12033" width="56.28515625" style="55" bestFit="1" customWidth="1"/>
    <col min="12034" max="12034" width="10" style="55" bestFit="1" customWidth="1"/>
    <col min="12035" max="12036" width="11.140625" style="55" bestFit="1" customWidth="1"/>
    <col min="12037" max="12037" width="7.85546875" style="55" customWidth="1"/>
    <col min="12038" max="12038" width="8" style="55" customWidth="1"/>
    <col min="12039" max="12039" width="9" style="55" customWidth="1"/>
    <col min="12040" max="12288" width="9.140625" style="55"/>
    <col min="12289" max="12289" width="56.28515625" style="55" bestFit="1" customWidth="1"/>
    <col min="12290" max="12290" width="10" style="55" bestFit="1" customWidth="1"/>
    <col min="12291" max="12292" width="11.140625" style="55" bestFit="1" customWidth="1"/>
    <col min="12293" max="12293" width="7.85546875" style="55" customWidth="1"/>
    <col min="12294" max="12294" width="8" style="55" customWidth="1"/>
    <col min="12295" max="12295" width="9" style="55" customWidth="1"/>
    <col min="12296" max="12544" width="9.140625" style="55"/>
    <col min="12545" max="12545" width="56.28515625" style="55" bestFit="1" customWidth="1"/>
    <col min="12546" max="12546" width="10" style="55" bestFit="1" customWidth="1"/>
    <col min="12547" max="12548" width="11.140625" style="55" bestFit="1" customWidth="1"/>
    <col min="12549" max="12549" width="7.85546875" style="55" customWidth="1"/>
    <col min="12550" max="12550" width="8" style="55" customWidth="1"/>
    <col min="12551" max="12551" width="9" style="55" customWidth="1"/>
    <col min="12552" max="12800" width="9.140625" style="55"/>
    <col min="12801" max="12801" width="56.28515625" style="55" bestFit="1" customWidth="1"/>
    <col min="12802" max="12802" width="10" style="55" bestFit="1" customWidth="1"/>
    <col min="12803" max="12804" width="11.140625" style="55" bestFit="1" customWidth="1"/>
    <col min="12805" max="12805" width="7.85546875" style="55" customWidth="1"/>
    <col min="12806" max="12806" width="8" style="55" customWidth="1"/>
    <col min="12807" max="12807" width="9" style="55" customWidth="1"/>
    <col min="12808" max="13056" width="9.140625" style="55"/>
    <col min="13057" max="13057" width="56.28515625" style="55" bestFit="1" customWidth="1"/>
    <col min="13058" max="13058" width="10" style="55" bestFit="1" customWidth="1"/>
    <col min="13059" max="13060" width="11.140625" style="55" bestFit="1" customWidth="1"/>
    <col min="13061" max="13061" width="7.85546875" style="55" customWidth="1"/>
    <col min="13062" max="13062" width="8" style="55" customWidth="1"/>
    <col min="13063" max="13063" width="9" style="55" customWidth="1"/>
    <col min="13064" max="13312" width="9.140625" style="55"/>
    <col min="13313" max="13313" width="56.28515625" style="55" bestFit="1" customWidth="1"/>
    <col min="13314" max="13314" width="10" style="55" bestFit="1" customWidth="1"/>
    <col min="13315" max="13316" width="11.140625" style="55" bestFit="1" customWidth="1"/>
    <col min="13317" max="13317" width="7.85546875" style="55" customWidth="1"/>
    <col min="13318" max="13318" width="8" style="55" customWidth="1"/>
    <col min="13319" max="13319" width="9" style="55" customWidth="1"/>
    <col min="13320" max="13568" width="9.140625" style="55"/>
    <col min="13569" max="13569" width="56.28515625" style="55" bestFit="1" customWidth="1"/>
    <col min="13570" max="13570" width="10" style="55" bestFit="1" customWidth="1"/>
    <col min="13571" max="13572" width="11.140625" style="55" bestFit="1" customWidth="1"/>
    <col min="13573" max="13573" width="7.85546875" style="55" customWidth="1"/>
    <col min="13574" max="13574" width="8" style="55" customWidth="1"/>
    <col min="13575" max="13575" width="9" style="55" customWidth="1"/>
    <col min="13576" max="13824" width="9.140625" style="55"/>
    <col min="13825" max="13825" width="56.28515625" style="55" bestFit="1" customWidth="1"/>
    <col min="13826" max="13826" width="10" style="55" bestFit="1" customWidth="1"/>
    <col min="13827" max="13828" width="11.140625" style="55" bestFit="1" customWidth="1"/>
    <col min="13829" max="13829" width="7.85546875" style="55" customWidth="1"/>
    <col min="13830" max="13830" width="8" style="55" customWidth="1"/>
    <col min="13831" max="13831" width="9" style="55" customWidth="1"/>
    <col min="13832" max="14080" width="9.140625" style="55"/>
    <col min="14081" max="14081" width="56.28515625" style="55" bestFit="1" customWidth="1"/>
    <col min="14082" max="14082" width="10" style="55" bestFit="1" customWidth="1"/>
    <col min="14083" max="14084" width="11.140625" style="55" bestFit="1" customWidth="1"/>
    <col min="14085" max="14085" width="7.85546875" style="55" customWidth="1"/>
    <col min="14086" max="14086" width="8" style="55" customWidth="1"/>
    <col min="14087" max="14087" width="9" style="55" customWidth="1"/>
    <col min="14088" max="14336" width="9.140625" style="55"/>
    <col min="14337" max="14337" width="56.28515625" style="55" bestFit="1" customWidth="1"/>
    <col min="14338" max="14338" width="10" style="55" bestFit="1" customWidth="1"/>
    <col min="14339" max="14340" width="11.140625" style="55" bestFit="1" customWidth="1"/>
    <col min="14341" max="14341" width="7.85546875" style="55" customWidth="1"/>
    <col min="14342" max="14342" width="8" style="55" customWidth="1"/>
    <col min="14343" max="14343" width="9" style="55" customWidth="1"/>
    <col min="14344" max="14592" width="9.140625" style="55"/>
    <col min="14593" max="14593" width="56.28515625" style="55" bestFit="1" customWidth="1"/>
    <col min="14594" max="14594" width="10" style="55" bestFit="1" customWidth="1"/>
    <col min="14595" max="14596" width="11.140625" style="55" bestFit="1" customWidth="1"/>
    <col min="14597" max="14597" width="7.85546875" style="55" customWidth="1"/>
    <col min="14598" max="14598" width="8" style="55" customWidth="1"/>
    <col min="14599" max="14599" width="9" style="55" customWidth="1"/>
    <col min="14600" max="14848" width="9.140625" style="55"/>
    <col min="14849" max="14849" width="56.28515625" style="55" bestFit="1" customWidth="1"/>
    <col min="14850" max="14850" width="10" style="55" bestFit="1" customWidth="1"/>
    <col min="14851" max="14852" width="11.140625" style="55" bestFit="1" customWidth="1"/>
    <col min="14853" max="14853" width="7.85546875" style="55" customWidth="1"/>
    <col min="14854" max="14854" width="8" style="55" customWidth="1"/>
    <col min="14855" max="14855" width="9" style="55" customWidth="1"/>
    <col min="14856" max="15104" width="9.140625" style="55"/>
    <col min="15105" max="15105" width="56.28515625" style="55" bestFit="1" customWidth="1"/>
    <col min="15106" max="15106" width="10" style="55" bestFit="1" customWidth="1"/>
    <col min="15107" max="15108" width="11.140625" style="55" bestFit="1" customWidth="1"/>
    <col min="15109" max="15109" width="7.85546875" style="55" customWidth="1"/>
    <col min="15110" max="15110" width="8" style="55" customWidth="1"/>
    <col min="15111" max="15111" width="9" style="55" customWidth="1"/>
    <col min="15112" max="15360" width="9.140625" style="55"/>
    <col min="15361" max="15361" width="56.28515625" style="55" bestFit="1" customWidth="1"/>
    <col min="15362" max="15362" width="10" style="55" bestFit="1" customWidth="1"/>
    <col min="15363" max="15364" width="11.140625" style="55" bestFit="1" customWidth="1"/>
    <col min="15365" max="15365" width="7.85546875" style="55" customWidth="1"/>
    <col min="15366" max="15366" width="8" style="55" customWidth="1"/>
    <col min="15367" max="15367" width="9" style="55" customWidth="1"/>
    <col min="15368" max="15616" width="9.140625" style="55"/>
    <col min="15617" max="15617" width="56.28515625" style="55" bestFit="1" customWidth="1"/>
    <col min="15618" max="15618" width="10" style="55" bestFit="1" customWidth="1"/>
    <col min="15619" max="15620" width="11.140625" style="55" bestFit="1" customWidth="1"/>
    <col min="15621" max="15621" width="7.85546875" style="55" customWidth="1"/>
    <col min="15622" max="15622" width="8" style="55" customWidth="1"/>
    <col min="15623" max="15623" width="9" style="55" customWidth="1"/>
    <col min="15624" max="15872" width="9.140625" style="55"/>
    <col min="15873" max="15873" width="56.28515625" style="55" bestFit="1" customWidth="1"/>
    <col min="15874" max="15874" width="10" style="55" bestFit="1" customWidth="1"/>
    <col min="15875" max="15876" width="11.140625" style="55" bestFit="1" customWidth="1"/>
    <col min="15877" max="15877" width="7.85546875" style="55" customWidth="1"/>
    <col min="15878" max="15878" width="8" style="55" customWidth="1"/>
    <col min="15879" max="15879" width="9" style="55" customWidth="1"/>
    <col min="15880" max="16128" width="9.140625" style="55"/>
    <col min="16129" max="16129" width="56.28515625" style="55" bestFit="1" customWidth="1"/>
    <col min="16130" max="16130" width="10" style="55" bestFit="1" customWidth="1"/>
    <col min="16131" max="16132" width="11.140625" style="55" bestFit="1" customWidth="1"/>
    <col min="16133" max="16133" width="7.85546875" style="55" customWidth="1"/>
    <col min="16134" max="16134" width="8" style="55" customWidth="1"/>
    <col min="16135" max="16135" width="9" style="55" customWidth="1"/>
    <col min="16136" max="16384" width="9.140625" style="55"/>
  </cols>
  <sheetData>
    <row r="1" spans="1:8" x14ac:dyDescent="0.2">
      <c r="A1" s="54" t="s">
        <v>51</v>
      </c>
      <c r="B1" s="54"/>
      <c r="D1" s="56" t="s">
        <v>52</v>
      </c>
    </row>
    <row r="2" spans="1:8" x14ac:dyDescent="0.2">
      <c r="A2" s="57"/>
      <c r="B2" s="58"/>
      <c r="C2" s="58"/>
      <c r="D2" s="59" t="s">
        <v>53</v>
      </c>
      <c r="E2" s="58"/>
    </row>
    <row r="3" spans="1:8" x14ac:dyDescent="0.2">
      <c r="A3" s="55" t="s">
        <v>54</v>
      </c>
      <c r="B3" s="60" t="s">
        <v>55</v>
      </c>
      <c r="C3" s="58"/>
      <c r="D3" s="58"/>
      <c r="E3" s="58"/>
    </row>
    <row r="4" spans="1:8" x14ac:dyDescent="0.2">
      <c r="A4" s="57"/>
      <c r="B4" s="58"/>
      <c r="C4" s="58"/>
      <c r="D4" s="58"/>
      <c r="E4" s="58"/>
    </row>
    <row r="5" spans="1:8" ht="13.5" thickBot="1" x14ac:dyDescent="0.25">
      <c r="A5" s="61" t="s">
        <v>2</v>
      </c>
      <c r="B5" s="61" t="s">
        <v>4</v>
      </c>
      <c r="C5" s="61" t="s">
        <v>6</v>
      </c>
      <c r="D5" s="61" t="s">
        <v>7</v>
      </c>
      <c r="E5" s="62" t="s">
        <v>3</v>
      </c>
      <c r="G5" s="63" t="s">
        <v>56</v>
      </c>
    </row>
    <row r="6" spans="1:8" ht="25.5" customHeight="1" x14ac:dyDescent="0.2">
      <c r="A6" s="64" t="s">
        <v>57</v>
      </c>
      <c r="B6" s="65" t="s">
        <v>23</v>
      </c>
      <c r="C6" s="66">
        <f>C9</f>
        <v>0</v>
      </c>
      <c r="D6" s="66">
        <f>0.99*C10</f>
        <v>79.2</v>
      </c>
      <c r="E6" s="60">
        <v>40</v>
      </c>
      <c r="G6" s="67">
        <f>E6</f>
        <v>40</v>
      </c>
    </row>
    <row r="7" spans="1:8" ht="25.5" customHeight="1" x14ac:dyDescent="0.2">
      <c r="A7" s="64" t="s">
        <v>58</v>
      </c>
      <c r="B7" s="65" t="s">
        <v>23</v>
      </c>
      <c r="C7" s="60">
        <v>-5</v>
      </c>
      <c r="D7" s="60">
        <v>30</v>
      </c>
      <c r="E7" s="60">
        <v>10</v>
      </c>
      <c r="G7" s="68">
        <f>E7</f>
        <v>10</v>
      </c>
      <c r="H7" s="55" t="s">
        <v>59</v>
      </c>
    </row>
    <row r="9" spans="1:8" x14ac:dyDescent="0.2">
      <c r="A9" s="69" t="s">
        <v>50</v>
      </c>
      <c r="B9" s="69" t="s">
        <v>6</v>
      </c>
      <c r="C9" s="70">
        <v>0</v>
      </c>
      <c r="D9" s="65"/>
      <c r="E9" s="71"/>
      <c r="H9" s="55" t="s">
        <v>60</v>
      </c>
    </row>
    <row r="10" spans="1:8" x14ac:dyDescent="0.2">
      <c r="A10" s="72"/>
      <c r="B10" s="69" t="s">
        <v>7</v>
      </c>
      <c r="C10" s="70">
        <v>80</v>
      </c>
      <c r="D10" s="65"/>
      <c r="E10" s="71"/>
    </row>
    <row r="11" spans="1:8" x14ac:dyDescent="0.2">
      <c r="A11" s="73"/>
      <c r="B11" s="74" t="s">
        <v>47</v>
      </c>
      <c r="C11" s="70">
        <v>1</v>
      </c>
      <c r="E11" s="75"/>
    </row>
    <row r="12" spans="1:8" x14ac:dyDescent="0.2">
      <c r="A12" s="73"/>
      <c r="B12" s="74" t="s">
        <v>42</v>
      </c>
      <c r="C12" s="76">
        <f>IF(B3="A",0,IF(B3="L",0.5,"WRONG: use L or A in cell B3"))</f>
        <v>0.5</v>
      </c>
      <c r="E12" s="75"/>
    </row>
    <row r="13" spans="1:8" x14ac:dyDescent="0.2">
      <c r="A13" s="73"/>
      <c r="B13" s="74"/>
      <c r="C13" s="77" t="s">
        <v>30</v>
      </c>
      <c r="E13" s="75"/>
    </row>
    <row r="14" spans="1:8" x14ac:dyDescent="0.2">
      <c r="C14" s="78">
        <f>MAX(C17:C141)</f>
        <v>0.99999337714815506</v>
      </c>
    </row>
    <row r="15" spans="1:8" x14ac:dyDescent="0.2">
      <c r="C15" s="78"/>
    </row>
    <row r="16" spans="1:8" x14ac:dyDescent="0.2">
      <c r="A16" s="79" t="s">
        <v>39</v>
      </c>
      <c r="B16" s="79" t="s">
        <v>61</v>
      </c>
      <c r="C16" s="79" t="s">
        <v>38</v>
      </c>
      <c r="E16" s="79"/>
      <c r="F16" s="79"/>
      <c r="G16" s="79"/>
    </row>
    <row r="17" spans="1:7" x14ac:dyDescent="0.2">
      <c r="A17" s="55">
        <f>C9</f>
        <v>0</v>
      </c>
      <c r="B17" s="55">
        <f t="shared" ref="B17:B80" si="0">A17+$C$11*$C$12</f>
        <v>0.5</v>
      </c>
      <c r="C17" s="80">
        <f>1/(1+EXP(-LN(19)*(B17-$G$6)/$G$7))</f>
        <v>8.8903613887799443E-6</v>
      </c>
      <c r="E17" s="81"/>
      <c r="F17" s="82"/>
      <c r="G17" s="81"/>
    </row>
    <row r="18" spans="1:7" x14ac:dyDescent="0.2">
      <c r="A18" s="55">
        <f>IF(A17&lt;$C$10-$C$11,A17+$C$11,$C$10)</f>
        <v>1</v>
      </c>
      <c r="B18" s="55">
        <f t="shared" si="0"/>
        <v>1.5</v>
      </c>
      <c r="C18" s="80">
        <f t="shared" ref="C18:C81" si="1">1/(1+EXP(-LN(19)*(B18-$G$6)/$G$7))</f>
        <v>1.1934203891726817E-5</v>
      </c>
      <c r="D18" s="81"/>
      <c r="E18" s="81"/>
      <c r="F18" s="82"/>
      <c r="G18" s="81"/>
    </row>
    <row r="19" spans="1:7" x14ac:dyDescent="0.2">
      <c r="A19" s="55">
        <f t="shared" ref="A19:A82" si="2">IF(A18&lt;$C$10-$C$11,A18+$C$11,$C$10)</f>
        <v>2</v>
      </c>
      <c r="B19" s="55">
        <f t="shared" si="0"/>
        <v>2.5</v>
      </c>
      <c r="C19" s="80">
        <f t="shared" si="1"/>
        <v>1.6020166995826902E-5</v>
      </c>
      <c r="D19" s="81"/>
      <c r="E19" s="81"/>
      <c r="F19" s="82"/>
      <c r="G19" s="81"/>
    </row>
    <row r="20" spans="1:7" x14ac:dyDescent="0.2">
      <c r="A20" s="55">
        <f t="shared" si="2"/>
        <v>3</v>
      </c>
      <c r="B20" s="55">
        <f t="shared" si="0"/>
        <v>3.5</v>
      </c>
      <c r="C20" s="80">
        <f t="shared" si="1"/>
        <v>2.15050282255806E-5</v>
      </c>
      <c r="D20" s="81"/>
      <c r="E20" s="81"/>
      <c r="F20" s="82"/>
      <c r="G20" s="81"/>
    </row>
    <row r="21" spans="1:7" x14ac:dyDescent="0.2">
      <c r="A21" s="55">
        <f t="shared" si="2"/>
        <v>4</v>
      </c>
      <c r="B21" s="55">
        <f t="shared" si="0"/>
        <v>4.5</v>
      </c>
      <c r="C21" s="80">
        <f t="shared" si="1"/>
        <v>2.8867699733858926E-5</v>
      </c>
      <c r="D21" s="81"/>
      <c r="E21" s="81"/>
      <c r="F21" s="82"/>
      <c r="G21" s="81"/>
    </row>
    <row r="22" spans="1:7" x14ac:dyDescent="0.2">
      <c r="A22" s="55">
        <f t="shared" si="2"/>
        <v>5</v>
      </c>
      <c r="B22" s="55">
        <f t="shared" si="0"/>
        <v>5.5</v>
      </c>
      <c r="C22" s="80">
        <f t="shared" si="1"/>
        <v>3.8751029688762125E-5</v>
      </c>
      <c r="D22" s="81"/>
      <c r="E22" s="81"/>
      <c r="F22" s="82"/>
      <c r="G22" s="81"/>
    </row>
    <row r="23" spans="1:7" x14ac:dyDescent="0.2">
      <c r="A23" s="55">
        <f t="shared" si="2"/>
        <v>6</v>
      </c>
      <c r="B23" s="55">
        <f t="shared" si="0"/>
        <v>6.5</v>
      </c>
      <c r="C23" s="80">
        <f t="shared" si="1"/>
        <v>5.201790355715704E-5</v>
      </c>
      <c r="D23" s="81"/>
      <c r="E23" s="81"/>
      <c r="F23" s="82"/>
      <c r="G23" s="81"/>
    </row>
    <row r="24" spans="1:7" x14ac:dyDescent="0.2">
      <c r="A24" s="55">
        <f t="shared" si="2"/>
        <v>7</v>
      </c>
      <c r="B24" s="55">
        <f t="shared" si="0"/>
        <v>7.5</v>
      </c>
      <c r="C24" s="80">
        <f t="shared" si="1"/>
        <v>6.982653161927E-5</v>
      </c>
      <c r="D24" s="81"/>
      <c r="E24" s="81"/>
      <c r="F24" s="82"/>
      <c r="G24" s="81"/>
    </row>
    <row r="25" spans="1:7" x14ac:dyDescent="0.2">
      <c r="A25" s="55">
        <f t="shared" si="2"/>
        <v>8</v>
      </c>
      <c r="B25" s="55">
        <f t="shared" si="0"/>
        <v>8.5</v>
      </c>
      <c r="C25" s="80">
        <f t="shared" si="1"/>
        <v>9.3731474287412419E-5</v>
      </c>
      <c r="D25" s="81"/>
      <c r="E25" s="81"/>
      <c r="F25" s="82"/>
      <c r="G25" s="81"/>
    </row>
    <row r="26" spans="1:7" x14ac:dyDescent="0.2">
      <c r="A26" s="55">
        <f t="shared" si="2"/>
        <v>9</v>
      </c>
      <c r="B26" s="55">
        <f t="shared" si="0"/>
        <v>9.5</v>
      </c>
      <c r="C26" s="80">
        <f t="shared" si="1"/>
        <v>1.2581918598030754E-4</v>
      </c>
      <c r="D26" s="81"/>
      <c r="E26" s="81"/>
      <c r="F26" s="82"/>
      <c r="G26" s="81"/>
    </row>
    <row r="27" spans="1:7" x14ac:dyDescent="0.2">
      <c r="A27" s="55">
        <f t="shared" si="2"/>
        <v>10</v>
      </c>
      <c r="B27" s="55">
        <f t="shared" si="0"/>
        <v>10.5</v>
      </c>
      <c r="C27" s="80">
        <f t="shared" si="1"/>
        <v>1.6888983953606827E-4</v>
      </c>
      <c r="D27" s="81"/>
      <c r="E27" s="81"/>
      <c r="F27" s="82"/>
      <c r="G27" s="81"/>
    </row>
    <row r="28" spans="1:7" x14ac:dyDescent="0.2">
      <c r="A28" s="55">
        <f t="shared" si="2"/>
        <v>11</v>
      </c>
      <c r="B28" s="55">
        <f t="shared" si="0"/>
        <v>11.5</v>
      </c>
      <c r="C28" s="80">
        <f t="shared" si="1"/>
        <v>2.2670117497800563E-4</v>
      </c>
      <c r="D28" s="81"/>
      <c r="E28" s="81"/>
      <c r="F28" s="82"/>
      <c r="G28" s="81"/>
    </row>
    <row r="29" spans="1:7" x14ac:dyDescent="0.2">
      <c r="A29" s="55">
        <f t="shared" si="2"/>
        <v>12</v>
      </c>
      <c r="B29" s="55">
        <f t="shared" si="0"/>
        <v>12.5</v>
      </c>
      <c r="C29" s="80">
        <f t="shared" si="1"/>
        <v>3.0429542537716069E-4</v>
      </c>
      <c r="D29" s="81"/>
      <c r="E29" s="81"/>
      <c r="F29" s="82"/>
      <c r="G29" s="81"/>
    </row>
    <row r="30" spans="1:7" x14ac:dyDescent="0.2">
      <c r="A30" s="55">
        <f t="shared" si="2"/>
        <v>13</v>
      </c>
      <c r="B30" s="55">
        <f t="shared" si="0"/>
        <v>13.5</v>
      </c>
      <c r="C30" s="80">
        <f t="shared" si="1"/>
        <v>4.0843743403218117E-4</v>
      </c>
      <c r="D30" s="81"/>
      <c r="E30" s="81"/>
      <c r="F30" s="82"/>
      <c r="G30" s="81"/>
    </row>
    <row r="31" spans="1:7" x14ac:dyDescent="0.2">
      <c r="A31" s="55">
        <f t="shared" si="2"/>
        <v>14</v>
      </c>
      <c r="B31" s="55">
        <f t="shared" si="0"/>
        <v>14.5</v>
      </c>
      <c r="C31" s="80">
        <f t="shared" si="1"/>
        <v>5.4820143928154864E-4</v>
      </c>
      <c r="D31" s="81"/>
      <c r="E31" s="81"/>
      <c r="F31" s="82"/>
      <c r="G31" s="81"/>
    </row>
    <row r="32" spans="1:7" x14ac:dyDescent="0.2">
      <c r="A32" s="55">
        <f t="shared" si="2"/>
        <v>15</v>
      </c>
      <c r="B32" s="55">
        <f t="shared" si="0"/>
        <v>15.5</v>
      </c>
      <c r="C32" s="80">
        <f t="shared" si="1"/>
        <v>7.3575636038830769E-4</v>
      </c>
      <c r="D32" s="81"/>
      <c r="E32" s="81"/>
      <c r="F32" s="82"/>
      <c r="G32" s="81"/>
    </row>
    <row r="33" spans="1:7" x14ac:dyDescent="0.2">
      <c r="A33" s="55">
        <f t="shared" si="2"/>
        <v>16</v>
      </c>
      <c r="B33" s="55">
        <f t="shared" si="0"/>
        <v>16.5</v>
      </c>
      <c r="C33" s="80">
        <f t="shared" si="1"/>
        <v>9.8741562834931003E-4</v>
      </c>
      <c r="D33" s="81"/>
      <c r="E33" s="81"/>
      <c r="F33" s="82"/>
      <c r="G33" s="81"/>
    </row>
    <row r="34" spans="1:7" x14ac:dyDescent="0.2">
      <c r="A34" s="55">
        <f t="shared" si="2"/>
        <v>17</v>
      </c>
      <c r="B34" s="55">
        <f t="shared" si="0"/>
        <v>17.5</v>
      </c>
      <c r="C34" s="80">
        <f t="shared" si="1"/>
        <v>1.3250386893592224E-3</v>
      </c>
      <c r="D34" s="81"/>
      <c r="E34" s="81"/>
      <c r="F34" s="82"/>
      <c r="G34" s="81"/>
    </row>
    <row r="35" spans="1:7" x14ac:dyDescent="0.2">
      <c r="A35" s="55">
        <f t="shared" si="2"/>
        <v>18</v>
      </c>
      <c r="B35" s="55">
        <f t="shared" si="0"/>
        <v>18.5</v>
      </c>
      <c r="C35" s="80">
        <f t="shared" si="1"/>
        <v>1.7778984007725564E-3</v>
      </c>
      <c r="D35" s="81"/>
      <c r="E35" s="81"/>
      <c r="F35" s="82"/>
      <c r="G35" s="81"/>
    </row>
    <row r="36" spans="1:7" x14ac:dyDescent="0.2">
      <c r="A36" s="55">
        <f t="shared" si="2"/>
        <v>19</v>
      </c>
      <c r="B36" s="55">
        <f t="shared" si="0"/>
        <v>19.5</v>
      </c>
      <c r="C36" s="80">
        <f t="shared" si="1"/>
        <v>2.3851627473903134E-3</v>
      </c>
      <c r="D36" s="81"/>
      <c r="E36" s="81"/>
      <c r="F36" s="82"/>
      <c r="G36" s="81"/>
    </row>
    <row r="37" spans="1:7" x14ac:dyDescent="0.2">
      <c r="A37" s="55">
        <f t="shared" si="2"/>
        <v>20</v>
      </c>
      <c r="B37" s="55">
        <f t="shared" si="0"/>
        <v>20.5</v>
      </c>
      <c r="C37" s="80">
        <f t="shared" si="1"/>
        <v>3.1991813850315307E-3</v>
      </c>
      <c r="D37" s="81"/>
      <c r="E37" s="81"/>
      <c r="F37" s="82"/>
      <c r="G37" s="81"/>
    </row>
    <row r="38" spans="1:7" x14ac:dyDescent="0.2">
      <c r="A38" s="55">
        <f t="shared" si="2"/>
        <v>21</v>
      </c>
      <c r="B38" s="55">
        <f t="shared" si="0"/>
        <v>21.5</v>
      </c>
      <c r="C38" s="80">
        <f t="shared" si="1"/>
        <v>4.2898172057643253E-3</v>
      </c>
      <c r="D38" s="81"/>
      <c r="E38" s="81"/>
      <c r="F38" s="82"/>
      <c r="G38" s="81"/>
    </row>
    <row r="39" spans="1:7" x14ac:dyDescent="0.2">
      <c r="A39" s="55">
        <f>IF(A38&lt;$C$10-$C$11,A38+$C$11,$C$10)</f>
        <v>22</v>
      </c>
      <c r="B39" s="55">
        <f t="shared" si="0"/>
        <v>22.5</v>
      </c>
      <c r="C39" s="80">
        <f t="shared" si="1"/>
        <v>5.7501178600824054E-3</v>
      </c>
      <c r="D39" s="81"/>
      <c r="E39" s="81"/>
      <c r="F39" s="82"/>
      <c r="G39" s="81"/>
    </row>
    <row r="40" spans="1:7" x14ac:dyDescent="0.2">
      <c r="A40" s="55">
        <f t="shared" si="2"/>
        <v>23</v>
      </c>
      <c r="B40" s="55">
        <f t="shared" si="0"/>
        <v>23.5</v>
      </c>
      <c r="C40" s="80">
        <f t="shared" si="1"/>
        <v>7.7036748015770927E-3</v>
      </c>
      <c r="D40" s="81"/>
      <c r="E40" s="81"/>
      <c r="F40" s="82"/>
      <c r="G40" s="81"/>
    </row>
    <row r="41" spans="1:7" x14ac:dyDescent="0.2">
      <c r="A41" s="55">
        <f t="shared" si="2"/>
        <v>24</v>
      </c>
      <c r="B41" s="55">
        <f t="shared" si="0"/>
        <v>24.5</v>
      </c>
      <c r="C41" s="80">
        <f t="shared" si="1"/>
        <v>1.0314052138263039E-2</v>
      </c>
      <c r="D41" s="81"/>
      <c r="E41" s="81"/>
      <c r="F41" s="82"/>
      <c r="G41" s="81"/>
    </row>
    <row r="42" spans="1:7" x14ac:dyDescent="0.2">
      <c r="A42" s="55">
        <f t="shared" si="2"/>
        <v>25</v>
      </c>
      <c r="B42" s="55">
        <f t="shared" si="0"/>
        <v>25.5</v>
      </c>
      <c r="C42" s="80">
        <f t="shared" si="1"/>
        <v>1.3796653289994501E-2</v>
      </c>
      <c r="D42" s="81"/>
      <c r="E42" s="81"/>
      <c r="F42" s="82"/>
      <c r="G42" s="81"/>
    </row>
    <row r="43" spans="1:7" x14ac:dyDescent="0.2">
      <c r="A43" s="55">
        <f t="shared" si="2"/>
        <v>26</v>
      </c>
      <c r="B43" s="55">
        <f t="shared" si="0"/>
        <v>26.5</v>
      </c>
      <c r="C43" s="80">
        <f t="shared" si="1"/>
        <v>1.8433273496656643E-2</v>
      </c>
      <c r="D43" s="81"/>
      <c r="E43" s="81"/>
      <c r="F43" s="82"/>
      <c r="G43" s="81"/>
    </row>
    <row r="44" spans="1:7" x14ac:dyDescent="0.2">
      <c r="A44" s="55">
        <f t="shared" si="2"/>
        <v>27</v>
      </c>
      <c r="B44" s="55">
        <f t="shared" si="0"/>
        <v>27.5</v>
      </c>
      <c r="C44" s="80">
        <f t="shared" si="1"/>
        <v>2.4589264026618745E-2</v>
      </c>
      <c r="D44" s="81"/>
      <c r="E44" s="81"/>
      <c r="F44" s="82"/>
      <c r="G44" s="81"/>
    </row>
    <row r="45" spans="1:7" x14ac:dyDescent="0.2">
      <c r="A45" s="55">
        <f t="shared" si="2"/>
        <v>28</v>
      </c>
      <c r="B45" s="55">
        <f t="shared" si="0"/>
        <v>28.5</v>
      </c>
      <c r="C45" s="80">
        <f t="shared" si="1"/>
        <v>3.2732556729938196E-2</v>
      </c>
      <c r="D45" s="81"/>
      <c r="E45" s="81"/>
      <c r="F45" s="82"/>
      <c r="G45" s="81"/>
    </row>
    <row r="46" spans="1:7" x14ac:dyDescent="0.2">
      <c r="A46" s="55">
        <f t="shared" si="2"/>
        <v>29</v>
      </c>
      <c r="B46" s="55">
        <f t="shared" si="0"/>
        <v>29.5</v>
      </c>
      <c r="C46" s="80">
        <f t="shared" si="1"/>
        <v>4.3452547062813859E-2</v>
      </c>
      <c r="D46" s="81"/>
      <c r="E46" s="81"/>
      <c r="F46" s="82"/>
      <c r="G46" s="81"/>
    </row>
    <row r="47" spans="1:7" x14ac:dyDescent="0.2">
      <c r="A47" s="55">
        <f t="shared" si="2"/>
        <v>30</v>
      </c>
      <c r="B47" s="55">
        <f t="shared" si="0"/>
        <v>30.5</v>
      </c>
      <c r="C47" s="80">
        <f t="shared" si="1"/>
        <v>5.7474747740164214E-2</v>
      </c>
      <c r="D47" s="81"/>
      <c r="E47" s="81"/>
      <c r="F47" s="82"/>
      <c r="G47" s="81"/>
    </row>
    <row r="48" spans="1:7" x14ac:dyDescent="0.2">
      <c r="A48" s="55">
        <f t="shared" si="2"/>
        <v>31</v>
      </c>
      <c r="B48" s="55">
        <f t="shared" si="0"/>
        <v>31.5</v>
      </c>
      <c r="C48" s="80">
        <f t="shared" si="1"/>
        <v>7.566400165843791E-2</v>
      </c>
      <c r="D48" s="81"/>
      <c r="E48" s="81"/>
      <c r="F48" s="82"/>
      <c r="G48" s="81"/>
    </row>
    <row r="49" spans="1:7" x14ac:dyDescent="0.2">
      <c r="A49" s="55">
        <f t="shared" si="2"/>
        <v>32</v>
      </c>
      <c r="B49" s="55">
        <f t="shared" si="0"/>
        <v>32.5</v>
      </c>
      <c r="C49" s="80">
        <f t="shared" si="1"/>
        <v>9.9005010697117077E-2</v>
      </c>
      <c r="D49" s="81"/>
      <c r="E49" s="81"/>
      <c r="F49" s="82"/>
      <c r="G49" s="81"/>
    </row>
    <row r="50" spans="1:7" x14ac:dyDescent="0.2">
      <c r="A50" s="55">
        <f t="shared" si="2"/>
        <v>33</v>
      </c>
      <c r="B50" s="55">
        <f t="shared" si="0"/>
        <v>33.5</v>
      </c>
      <c r="C50" s="80">
        <f t="shared" si="1"/>
        <v>0.12854498369787984</v>
      </c>
      <c r="D50" s="81"/>
      <c r="E50" s="81"/>
      <c r="F50" s="82"/>
      <c r="G50" s="81"/>
    </row>
    <row r="51" spans="1:7" x14ac:dyDescent="0.2">
      <c r="A51" s="55">
        <f t="shared" si="2"/>
        <v>34</v>
      </c>
      <c r="B51" s="55">
        <f t="shared" si="0"/>
        <v>34.5</v>
      </c>
      <c r="C51" s="80">
        <f t="shared" si="1"/>
        <v>0.16528191704798764</v>
      </c>
      <c r="D51" s="81"/>
      <c r="E51" s="81"/>
      <c r="F51" s="82"/>
      <c r="G51" s="81"/>
    </row>
    <row r="52" spans="1:7" x14ac:dyDescent="0.2">
      <c r="A52" s="55">
        <f t="shared" si="2"/>
        <v>35</v>
      </c>
      <c r="B52" s="55">
        <f t="shared" si="0"/>
        <v>35.5</v>
      </c>
      <c r="C52" s="80">
        <f t="shared" si="1"/>
        <v>0.20998803456657261</v>
      </c>
      <c r="D52" s="81"/>
      <c r="E52" s="81"/>
      <c r="F52" s="82"/>
      <c r="G52" s="81"/>
    </row>
    <row r="53" spans="1:7" x14ac:dyDescent="0.2">
      <c r="A53" s="55">
        <f t="shared" si="2"/>
        <v>36</v>
      </c>
      <c r="B53" s="55">
        <f t="shared" si="0"/>
        <v>36.5</v>
      </c>
      <c r="C53" s="80">
        <f t="shared" si="1"/>
        <v>0.26297678305924127</v>
      </c>
      <c r="D53" s="81"/>
      <c r="E53" s="81"/>
      <c r="F53" s="82"/>
      <c r="G53" s="81"/>
    </row>
    <row r="54" spans="1:7" x14ac:dyDescent="0.2">
      <c r="A54" s="55">
        <f t="shared" si="2"/>
        <v>37</v>
      </c>
      <c r="B54" s="55">
        <f t="shared" si="0"/>
        <v>37.5</v>
      </c>
      <c r="C54" s="80">
        <f t="shared" si="1"/>
        <v>0.32385542054539385</v>
      </c>
      <c r="D54" s="81"/>
      <c r="E54" s="81"/>
      <c r="F54" s="82"/>
      <c r="G54" s="81"/>
    </row>
    <row r="55" spans="1:7" x14ac:dyDescent="0.2">
      <c r="A55" s="55">
        <f t="shared" si="2"/>
        <v>38</v>
      </c>
      <c r="B55" s="55">
        <f t="shared" si="0"/>
        <v>38.5</v>
      </c>
      <c r="C55" s="80">
        <f t="shared" si="1"/>
        <v>0.39134410295349109</v>
      </c>
      <c r="D55" s="81"/>
      <c r="E55" s="81"/>
      <c r="F55" s="82"/>
      <c r="G55" s="81"/>
    </row>
    <row r="56" spans="1:7" x14ac:dyDescent="0.2">
      <c r="A56" s="55">
        <f t="shared" si="2"/>
        <v>39</v>
      </c>
      <c r="B56" s="55">
        <f t="shared" si="0"/>
        <v>39.5</v>
      </c>
      <c r="C56" s="80">
        <f t="shared" si="1"/>
        <v>0.46326084676106677</v>
      </c>
      <c r="D56" s="81"/>
      <c r="E56" s="81"/>
      <c r="F56" s="82"/>
      <c r="G56" s="81"/>
    </row>
    <row r="57" spans="1:7" x14ac:dyDescent="0.2">
      <c r="A57" s="55">
        <f t="shared" si="2"/>
        <v>40</v>
      </c>
      <c r="B57" s="55">
        <f t="shared" si="0"/>
        <v>40.5</v>
      </c>
      <c r="C57" s="80">
        <f t="shared" si="1"/>
        <v>0.53673915323893318</v>
      </c>
      <c r="D57" s="81"/>
      <c r="E57" s="81"/>
      <c r="F57" s="82"/>
      <c r="G57" s="81"/>
    </row>
    <row r="58" spans="1:7" x14ac:dyDescent="0.2">
      <c r="A58" s="55">
        <f t="shared" si="2"/>
        <v>41</v>
      </c>
      <c r="B58" s="55">
        <f t="shared" si="0"/>
        <v>41.5</v>
      </c>
      <c r="C58" s="80">
        <f t="shared" si="1"/>
        <v>0.60865589704650891</v>
      </c>
      <c r="D58" s="81"/>
      <c r="E58" s="81"/>
      <c r="F58" s="82"/>
      <c r="G58" s="81"/>
    </row>
    <row r="59" spans="1:7" x14ac:dyDescent="0.2">
      <c r="A59" s="55">
        <f t="shared" si="2"/>
        <v>42</v>
      </c>
      <c r="B59" s="55">
        <f t="shared" si="0"/>
        <v>42.5</v>
      </c>
      <c r="C59" s="80">
        <f t="shared" si="1"/>
        <v>0.67614457945460615</v>
      </c>
      <c r="D59" s="81"/>
      <c r="E59" s="81"/>
      <c r="F59" s="82"/>
      <c r="G59" s="81"/>
    </row>
    <row r="60" spans="1:7" x14ac:dyDescent="0.2">
      <c r="A60" s="55">
        <f t="shared" si="2"/>
        <v>43</v>
      </c>
      <c r="B60" s="55">
        <f t="shared" si="0"/>
        <v>43.5</v>
      </c>
      <c r="C60" s="80">
        <f t="shared" si="1"/>
        <v>0.73702321694075879</v>
      </c>
      <c r="D60" s="81"/>
      <c r="E60" s="81"/>
      <c r="F60" s="82"/>
      <c r="G60" s="81"/>
    </row>
    <row r="61" spans="1:7" x14ac:dyDescent="0.2">
      <c r="A61" s="55">
        <f t="shared" si="2"/>
        <v>44</v>
      </c>
      <c r="B61" s="55">
        <f t="shared" si="0"/>
        <v>44.5</v>
      </c>
      <c r="C61" s="80">
        <f t="shared" si="1"/>
        <v>0.79001196543342733</v>
      </c>
      <c r="D61" s="81"/>
      <c r="E61" s="81"/>
      <c r="F61" s="82"/>
      <c r="G61" s="81"/>
    </row>
    <row r="62" spans="1:7" x14ac:dyDescent="0.2">
      <c r="A62" s="55">
        <f t="shared" si="2"/>
        <v>45</v>
      </c>
      <c r="B62" s="55">
        <f t="shared" si="0"/>
        <v>45.5</v>
      </c>
      <c r="C62" s="80">
        <f t="shared" si="1"/>
        <v>0.83471808295201244</v>
      </c>
      <c r="D62" s="81"/>
      <c r="E62" s="81"/>
      <c r="F62" s="82"/>
      <c r="G62" s="81"/>
    </row>
    <row r="63" spans="1:7" x14ac:dyDescent="0.2">
      <c r="A63" s="55">
        <f t="shared" si="2"/>
        <v>46</v>
      </c>
      <c r="B63" s="55">
        <f t="shared" si="0"/>
        <v>46.5</v>
      </c>
      <c r="C63" s="80">
        <f t="shared" si="1"/>
        <v>0.87145501630212019</v>
      </c>
      <c r="D63" s="81"/>
      <c r="E63" s="81"/>
      <c r="F63" s="82"/>
      <c r="G63" s="81"/>
    </row>
    <row r="64" spans="1:7" x14ac:dyDescent="0.2">
      <c r="A64" s="55">
        <f t="shared" si="2"/>
        <v>47</v>
      </c>
      <c r="B64" s="55">
        <f t="shared" si="0"/>
        <v>47.5</v>
      </c>
      <c r="C64" s="80">
        <f t="shared" si="1"/>
        <v>0.90099498930288291</v>
      </c>
      <c r="D64" s="81"/>
      <c r="E64" s="81"/>
      <c r="F64" s="82"/>
      <c r="G64" s="81"/>
    </row>
    <row r="65" spans="1:7" x14ac:dyDescent="0.2">
      <c r="A65" s="55">
        <f t="shared" si="2"/>
        <v>48</v>
      </c>
      <c r="B65" s="55">
        <f t="shared" si="0"/>
        <v>48.5</v>
      </c>
      <c r="C65" s="80">
        <f t="shared" si="1"/>
        <v>0.9243359983415621</v>
      </c>
      <c r="D65" s="81"/>
      <c r="E65" s="81"/>
      <c r="F65" s="82"/>
      <c r="G65" s="81"/>
    </row>
    <row r="66" spans="1:7" x14ac:dyDescent="0.2">
      <c r="A66" s="55">
        <f t="shared" si="2"/>
        <v>49</v>
      </c>
      <c r="B66" s="55">
        <f t="shared" si="0"/>
        <v>49.5</v>
      </c>
      <c r="C66" s="80">
        <f t="shared" si="1"/>
        <v>0.94252525225983574</v>
      </c>
      <c r="D66" s="81"/>
      <c r="E66" s="81"/>
      <c r="F66" s="82"/>
      <c r="G66" s="81"/>
    </row>
    <row r="67" spans="1:7" x14ac:dyDescent="0.2">
      <c r="A67" s="55">
        <f t="shared" si="2"/>
        <v>50</v>
      </c>
      <c r="B67" s="55">
        <f t="shared" si="0"/>
        <v>50.5</v>
      </c>
      <c r="C67" s="80">
        <f t="shared" si="1"/>
        <v>0.95654745293718613</v>
      </c>
      <c r="D67" s="81"/>
      <c r="E67" s="81"/>
      <c r="F67" s="82"/>
      <c r="G67" s="81"/>
    </row>
    <row r="68" spans="1:7" x14ac:dyDescent="0.2">
      <c r="A68" s="55">
        <f t="shared" si="2"/>
        <v>51</v>
      </c>
      <c r="B68" s="55">
        <f t="shared" si="0"/>
        <v>51.5</v>
      </c>
      <c r="C68" s="80">
        <f t="shared" si="1"/>
        <v>0.96726744327006176</v>
      </c>
      <c r="D68" s="81"/>
      <c r="E68" s="81"/>
      <c r="F68" s="82"/>
      <c r="G68" s="81"/>
    </row>
    <row r="69" spans="1:7" x14ac:dyDescent="0.2">
      <c r="A69" s="55">
        <f t="shared" si="2"/>
        <v>52</v>
      </c>
      <c r="B69" s="55">
        <f t="shared" si="0"/>
        <v>52.5</v>
      </c>
      <c r="C69" s="80">
        <f t="shared" si="1"/>
        <v>0.97541073597338135</v>
      </c>
      <c r="D69" s="81"/>
      <c r="E69" s="81"/>
      <c r="F69" s="82"/>
      <c r="G69" s="81"/>
    </row>
    <row r="70" spans="1:7" x14ac:dyDescent="0.2">
      <c r="A70" s="55">
        <f t="shared" si="2"/>
        <v>53</v>
      </c>
      <c r="B70" s="55">
        <f t="shared" si="0"/>
        <v>53.5</v>
      </c>
      <c r="C70" s="80">
        <f t="shared" si="1"/>
        <v>0.98156672650334342</v>
      </c>
      <c r="D70" s="81"/>
      <c r="E70" s="81"/>
      <c r="F70" s="82"/>
      <c r="G70" s="81"/>
    </row>
    <row r="71" spans="1:7" x14ac:dyDescent="0.2">
      <c r="A71" s="55">
        <f t="shared" si="2"/>
        <v>54</v>
      </c>
      <c r="B71" s="55">
        <f t="shared" si="0"/>
        <v>54.5</v>
      </c>
      <c r="C71" s="80">
        <f t="shared" si="1"/>
        <v>0.98620334671000554</v>
      </c>
      <c r="D71" s="81"/>
      <c r="E71" s="81"/>
      <c r="F71" s="82"/>
      <c r="G71" s="81"/>
    </row>
    <row r="72" spans="1:7" x14ac:dyDescent="0.2">
      <c r="A72" s="55">
        <f t="shared" si="2"/>
        <v>55</v>
      </c>
      <c r="B72" s="55">
        <f t="shared" si="0"/>
        <v>55.5</v>
      </c>
      <c r="C72" s="80">
        <f t="shared" si="1"/>
        <v>0.98968594786173691</v>
      </c>
      <c r="D72" s="81"/>
      <c r="E72" s="81"/>
      <c r="F72" s="82"/>
      <c r="G72" s="81"/>
    </row>
    <row r="73" spans="1:7" x14ac:dyDescent="0.2">
      <c r="A73" s="55">
        <f t="shared" si="2"/>
        <v>56</v>
      </c>
      <c r="B73" s="55">
        <f t="shared" si="0"/>
        <v>56.5</v>
      </c>
      <c r="C73" s="80">
        <f t="shared" si="1"/>
        <v>0.99229632519842292</v>
      </c>
      <c r="D73" s="81"/>
      <c r="E73" s="81"/>
      <c r="F73" s="82"/>
      <c r="G73" s="81"/>
    </row>
    <row r="74" spans="1:7" x14ac:dyDescent="0.2">
      <c r="A74" s="55">
        <f t="shared" si="2"/>
        <v>57</v>
      </c>
      <c r="B74" s="55">
        <f t="shared" si="0"/>
        <v>57.5</v>
      </c>
      <c r="C74" s="80">
        <f t="shared" si="1"/>
        <v>0.99424988213991772</v>
      </c>
      <c r="D74" s="81"/>
      <c r="E74" s="81"/>
      <c r="F74" s="82"/>
      <c r="G74" s="81"/>
    </row>
    <row r="75" spans="1:7" x14ac:dyDescent="0.2">
      <c r="A75" s="55">
        <f t="shared" si="2"/>
        <v>58</v>
      </c>
      <c r="B75" s="55">
        <f t="shared" si="0"/>
        <v>58.5</v>
      </c>
      <c r="C75" s="80">
        <f t="shared" si="1"/>
        <v>0.99571018279423562</v>
      </c>
      <c r="D75" s="81"/>
      <c r="E75" s="81"/>
      <c r="F75" s="82"/>
      <c r="G75" s="81"/>
    </row>
    <row r="76" spans="1:7" x14ac:dyDescent="0.2">
      <c r="A76" s="55">
        <f t="shared" si="2"/>
        <v>59</v>
      </c>
      <c r="B76" s="55">
        <f t="shared" si="0"/>
        <v>59.5</v>
      </c>
      <c r="C76" s="80">
        <f t="shared" si="1"/>
        <v>0.9968008186149685</v>
      </c>
      <c r="D76" s="81"/>
      <c r="E76" s="81"/>
      <c r="F76" s="82"/>
      <c r="G76" s="81"/>
    </row>
    <row r="77" spans="1:7" x14ac:dyDescent="0.2">
      <c r="A77" s="55">
        <f t="shared" si="2"/>
        <v>60</v>
      </c>
      <c r="B77" s="55">
        <f t="shared" si="0"/>
        <v>60.5</v>
      </c>
      <c r="C77" s="80">
        <f t="shared" si="1"/>
        <v>0.9976148372526098</v>
      </c>
      <c r="D77" s="81"/>
      <c r="E77" s="81"/>
      <c r="F77" s="82"/>
      <c r="G77" s="81"/>
    </row>
    <row r="78" spans="1:7" x14ac:dyDescent="0.2">
      <c r="A78" s="55">
        <f t="shared" si="2"/>
        <v>61</v>
      </c>
      <c r="B78" s="55">
        <f t="shared" si="0"/>
        <v>61.5</v>
      </c>
      <c r="C78" s="80">
        <f t="shared" si="1"/>
        <v>0.99822210159922742</v>
      </c>
      <c r="D78" s="81"/>
      <c r="E78" s="81"/>
      <c r="F78" s="82"/>
      <c r="G78" s="81"/>
    </row>
    <row r="79" spans="1:7" x14ac:dyDescent="0.2">
      <c r="A79" s="55">
        <f t="shared" si="2"/>
        <v>62</v>
      </c>
      <c r="B79" s="55">
        <f t="shared" si="0"/>
        <v>62.5</v>
      </c>
      <c r="C79" s="80">
        <f t="shared" si="1"/>
        <v>0.99867496131064082</v>
      </c>
      <c r="D79" s="81"/>
      <c r="E79" s="81"/>
      <c r="F79" s="82"/>
      <c r="G79" s="81"/>
    </row>
    <row r="80" spans="1:7" x14ac:dyDescent="0.2">
      <c r="A80" s="55">
        <f t="shared" si="2"/>
        <v>63</v>
      </c>
      <c r="B80" s="55">
        <f t="shared" si="0"/>
        <v>63.5</v>
      </c>
      <c r="C80" s="80">
        <f t="shared" si="1"/>
        <v>0.99901258437165064</v>
      </c>
      <c r="D80" s="81"/>
      <c r="E80" s="81"/>
      <c r="F80" s="82"/>
      <c r="G80" s="81"/>
    </row>
    <row r="81" spans="1:7" x14ac:dyDescent="0.2">
      <c r="A81" s="55">
        <f t="shared" si="2"/>
        <v>64</v>
      </c>
      <c r="B81" s="55">
        <f t="shared" ref="B81:B141" si="3">A81+$C$11*$C$12</f>
        <v>64.5</v>
      </c>
      <c r="C81" s="80">
        <f t="shared" si="1"/>
        <v>0.99926424363961175</v>
      </c>
      <c r="D81" s="81"/>
      <c r="E81" s="81"/>
      <c r="F81" s="82"/>
      <c r="G81" s="81"/>
    </row>
    <row r="82" spans="1:7" x14ac:dyDescent="0.2">
      <c r="A82" s="55">
        <f t="shared" si="2"/>
        <v>65</v>
      </c>
      <c r="B82" s="55">
        <f t="shared" si="3"/>
        <v>65.5</v>
      </c>
      <c r="C82" s="80">
        <f t="shared" ref="C82:C141" si="4">1/(1+EXP(-LN(19)*(B82-$G$6)/$G$7))</f>
        <v>0.99945179856071853</v>
      </c>
      <c r="D82" s="81"/>
      <c r="E82" s="81"/>
      <c r="F82" s="82"/>
      <c r="G82" s="81"/>
    </row>
    <row r="83" spans="1:7" x14ac:dyDescent="0.2">
      <c r="A83" s="55">
        <f t="shared" ref="A83:A141" si="5">IF(A82&lt;$C$10-$C$11,A82+$C$11,$C$10)</f>
        <v>66</v>
      </c>
      <c r="B83" s="55">
        <f t="shared" si="3"/>
        <v>66.5</v>
      </c>
      <c r="C83" s="80">
        <f t="shared" si="4"/>
        <v>0.99959156256596782</v>
      </c>
      <c r="D83" s="81"/>
      <c r="E83" s="81"/>
      <c r="F83" s="82"/>
      <c r="G83" s="81"/>
    </row>
    <row r="84" spans="1:7" x14ac:dyDescent="0.2">
      <c r="A84" s="55">
        <f t="shared" si="5"/>
        <v>67</v>
      </c>
      <c r="B84" s="55">
        <f t="shared" si="3"/>
        <v>67.5</v>
      </c>
      <c r="C84" s="80">
        <f t="shared" si="4"/>
        <v>0.99969570457462276</v>
      </c>
      <c r="D84" s="81"/>
      <c r="E84" s="81"/>
      <c r="F84" s="82"/>
      <c r="G84" s="81"/>
    </row>
    <row r="85" spans="1:7" x14ac:dyDescent="0.2">
      <c r="A85" s="55">
        <f t="shared" si="5"/>
        <v>68</v>
      </c>
      <c r="B85" s="55">
        <f t="shared" si="3"/>
        <v>68.5</v>
      </c>
      <c r="C85" s="80">
        <f t="shared" si="4"/>
        <v>0.99977329882502197</v>
      </c>
      <c r="D85" s="81"/>
      <c r="E85" s="81"/>
      <c r="F85" s="82"/>
      <c r="G85" s="81"/>
    </row>
    <row r="86" spans="1:7" x14ac:dyDescent="0.2">
      <c r="A86" s="55">
        <f t="shared" si="5"/>
        <v>69</v>
      </c>
      <c r="B86" s="55">
        <f t="shared" si="3"/>
        <v>69.5</v>
      </c>
      <c r="C86" s="80">
        <f t="shared" si="4"/>
        <v>0.99983111016046389</v>
      </c>
      <c r="D86" s="81"/>
      <c r="E86" s="81"/>
      <c r="F86" s="82"/>
      <c r="G86" s="81"/>
    </row>
    <row r="87" spans="1:7" x14ac:dyDescent="0.2">
      <c r="A87" s="55">
        <f t="shared" si="5"/>
        <v>70</v>
      </c>
      <c r="B87" s="55">
        <f t="shared" si="3"/>
        <v>70.5</v>
      </c>
      <c r="C87" s="80">
        <f t="shared" si="4"/>
        <v>0.99987418081401969</v>
      </c>
      <c r="D87" s="81"/>
      <c r="E87" s="81"/>
      <c r="F87" s="82"/>
      <c r="G87" s="81"/>
    </row>
    <row r="88" spans="1:7" x14ac:dyDescent="0.2">
      <c r="A88" s="55">
        <f t="shared" si="5"/>
        <v>71</v>
      </c>
      <c r="B88" s="55">
        <f t="shared" si="3"/>
        <v>71.5</v>
      </c>
      <c r="C88" s="80">
        <f t="shared" si="4"/>
        <v>0.99990626852571263</v>
      </c>
      <c r="D88" s="81"/>
      <c r="E88" s="81"/>
      <c r="F88" s="82"/>
      <c r="G88" s="81"/>
    </row>
    <row r="89" spans="1:7" x14ac:dyDescent="0.2">
      <c r="A89" s="55">
        <f t="shared" si="5"/>
        <v>72</v>
      </c>
      <c r="B89" s="55">
        <f t="shared" si="3"/>
        <v>72.5</v>
      </c>
      <c r="C89" s="80">
        <f t="shared" si="4"/>
        <v>0.99993017346838065</v>
      </c>
      <c r="D89" s="81"/>
      <c r="E89" s="81"/>
      <c r="F89" s="82"/>
      <c r="G89" s="81"/>
    </row>
    <row r="90" spans="1:7" x14ac:dyDescent="0.2">
      <c r="A90" s="55">
        <f t="shared" si="5"/>
        <v>73</v>
      </c>
      <c r="B90" s="55">
        <f t="shared" si="3"/>
        <v>73.5</v>
      </c>
      <c r="C90" s="80">
        <f t="shared" si="4"/>
        <v>0.99994798209644287</v>
      </c>
      <c r="D90" s="81"/>
      <c r="E90" s="81"/>
      <c r="F90" s="82"/>
      <c r="G90" s="81"/>
    </row>
    <row r="91" spans="1:7" x14ac:dyDescent="0.2">
      <c r="A91" s="55">
        <f t="shared" si="5"/>
        <v>74</v>
      </c>
      <c r="B91" s="55">
        <f t="shared" si="3"/>
        <v>74.5</v>
      </c>
      <c r="C91" s="80">
        <f t="shared" si="4"/>
        <v>0.99996124897031136</v>
      </c>
      <c r="D91" s="81"/>
      <c r="E91" s="81"/>
      <c r="F91" s="82"/>
      <c r="G91" s="81"/>
    </row>
    <row r="92" spans="1:7" x14ac:dyDescent="0.2">
      <c r="A92" s="55">
        <f t="shared" si="5"/>
        <v>75</v>
      </c>
      <c r="B92" s="55">
        <f t="shared" si="3"/>
        <v>75.5</v>
      </c>
      <c r="C92" s="80">
        <f t="shared" si="4"/>
        <v>0.99997113230026613</v>
      </c>
      <c r="D92" s="81"/>
      <c r="E92" s="81"/>
      <c r="F92" s="82"/>
      <c r="G92" s="81"/>
    </row>
    <row r="93" spans="1:7" x14ac:dyDescent="0.2">
      <c r="A93" s="55">
        <f t="shared" si="5"/>
        <v>76</v>
      </c>
      <c r="B93" s="55">
        <f t="shared" si="3"/>
        <v>76.5</v>
      </c>
      <c r="C93" s="80">
        <f t="shared" si="4"/>
        <v>0.99997849497177438</v>
      </c>
      <c r="D93" s="81"/>
      <c r="E93" s="81"/>
      <c r="F93" s="82"/>
      <c r="G93" s="81"/>
    </row>
    <row r="94" spans="1:7" x14ac:dyDescent="0.2">
      <c r="A94" s="55">
        <f t="shared" si="5"/>
        <v>77</v>
      </c>
      <c r="B94" s="55">
        <f t="shared" si="3"/>
        <v>77.5</v>
      </c>
      <c r="C94" s="80">
        <f t="shared" si="4"/>
        <v>0.99998397983300413</v>
      </c>
      <c r="D94" s="81"/>
      <c r="E94" s="81"/>
      <c r="F94" s="82"/>
      <c r="G94" s="81"/>
    </row>
    <row r="95" spans="1:7" x14ac:dyDescent="0.2">
      <c r="A95" s="55">
        <f t="shared" si="5"/>
        <v>78</v>
      </c>
      <c r="B95" s="55">
        <f t="shared" si="3"/>
        <v>78.5</v>
      </c>
      <c r="C95" s="80">
        <f t="shared" si="4"/>
        <v>0.99998806579610822</v>
      </c>
      <c r="D95" s="81"/>
      <c r="E95" s="81"/>
      <c r="F95" s="82"/>
      <c r="G95" s="81"/>
    </row>
    <row r="96" spans="1:7" x14ac:dyDescent="0.2">
      <c r="A96" s="55">
        <f t="shared" si="5"/>
        <v>79</v>
      </c>
      <c r="B96" s="55">
        <f t="shared" si="3"/>
        <v>79.5</v>
      </c>
      <c r="C96" s="80">
        <f t="shared" si="4"/>
        <v>0.99999110963861115</v>
      </c>
      <c r="D96" s="81"/>
      <c r="E96" s="81"/>
      <c r="F96" s="82"/>
      <c r="G96" s="81"/>
    </row>
    <row r="97" spans="1:7" x14ac:dyDescent="0.2">
      <c r="A97" s="55">
        <f t="shared" si="5"/>
        <v>80</v>
      </c>
      <c r="B97" s="55">
        <f t="shared" si="3"/>
        <v>80.5</v>
      </c>
      <c r="C97" s="80">
        <f t="shared" si="4"/>
        <v>0.99999337714815506</v>
      </c>
      <c r="D97" s="81"/>
      <c r="E97" s="81"/>
      <c r="F97" s="82"/>
      <c r="G97" s="81"/>
    </row>
    <row r="98" spans="1:7" x14ac:dyDescent="0.2">
      <c r="A98" s="55">
        <f t="shared" si="5"/>
        <v>80</v>
      </c>
      <c r="B98" s="55">
        <f t="shared" si="3"/>
        <v>80.5</v>
      </c>
      <c r="C98" s="80">
        <f t="shared" si="4"/>
        <v>0.99999337714815506</v>
      </c>
      <c r="D98" s="81"/>
      <c r="E98" s="81"/>
      <c r="F98" s="82"/>
      <c r="G98" s="81"/>
    </row>
    <row r="99" spans="1:7" x14ac:dyDescent="0.2">
      <c r="A99" s="55">
        <f t="shared" si="5"/>
        <v>80</v>
      </c>
      <c r="B99" s="55">
        <f t="shared" si="3"/>
        <v>80.5</v>
      </c>
      <c r="C99" s="80">
        <f t="shared" si="4"/>
        <v>0.99999337714815506</v>
      </c>
      <c r="D99" s="81"/>
      <c r="E99" s="81"/>
      <c r="F99" s="82"/>
      <c r="G99" s="81"/>
    </row>
    <row r="100" spans="1:7" x14ac:dyDescent="0.2">
      <c r="A100" s="55">
        <f t="shared" si="5"/>
        <v>80</v>
      </c>
      <c r="B100" s="55">
        <f t="shared" si="3"/>
        <v>80.5</v>
      </c>
      <c r="C100" s="80">
        <f t="shared" si="4"/>
        <v>0.99999337714815506</v>
      </c>
      <c r="D100" s="81"/>
      <c r="E100" s="81"/>
      <c r="F100" s="82"/>
      <c r="G100" s="81"/>
    </row>
    <row r="101" spans="1:7" x14ac:dyDescent="0.2">
      <c r="A101" s="55">
        <f t="shared" si="5"/>
        <v>80</v>
      </c>
      <c r="B101" s="55">
        <f t="shared" si="3"/>
        <v>80.5</v>
      </c>
      <c r="C101" s="80">
        <f t="shared" si="4"/>
        <v>0.99999337714815506</v>
      </c>
      <c r="D101" s="81"/>
      <c r="E101" s="81"/>
      <c r="F101" s="82"/>
      <c r="G101" s="81"/>
    </row>
    <row r="102" spans="1:7" x14ac:dyDescent="0.2">
      <c r="A102" s="55">
        <f t="shared" si="5"/>
        <v>80</v>
      </c>
      <c r="B102" s="55">
        <f t="shared" si="3"/>
        <v>80.5</v>
      </c>
      <c r="C102" s="80">
        <f t="shared" si="4"/>
        <v>0.99999337714815506</v>
      </c>
      <c r="D102" s="81"/>
      <c r="E102" s="81"/>
      <c r="F102" s="82"/>
      <c r="G102" s="81"/>
    </row>
    <row r="103" spans="1:7" x14ac:dyDescent="0.2">
      <c r="A103" s="55">
        <f t="shared" si="5"/>
        <v>80</v>
      </c>
      <c r="B103" s="55">
        <f t="shared" si="3"/>
        <v>80.5</v>
      </c>
      <c r="C103" s="80">
        <f t="shared" si="4"/>
        <v>0.99999337714815506</v>
      </c>
      <c r="D103" s="81"/>
      <c r="E103" s="81"/>
      <c r="F103" s="82"/>
      <c r="G103" s="81"/>
    </row>
    <row r="104" spans="1:7" x14ac:dyDescent="0.2">
      <c r="A104" s="55">
        <f t="shared" si="5"/>
        <v>80</v>
      </c>
      <c r="B104" s="55">
        <f t="shared" si="3"/>
        <v>80.5</v>
      </c>
      <c r="C104" s="80">
        <f t="shared" si="4"/>
        <v>0.99999337714815506</v>
      </c>
      <c r="D104" s="81"/>
      <c r="E104" s="81"/>
      <c r="F104" s="82"/>
      <c r="G104" s="81"/>
    </row>
    <row r="105" spans="1:7" x14ac:dyDescent="0.2">
      <c r="A105" s="55">
        <f t="shared" si="5"/>
        <v>80</v>
      </c>
      <c r="B105" s="55">
        <f t="shared" si="3"/>
        <v>80.5</v>
      </c>
      <c r="C105" s="80">
        <f t="shared" si="4"/>
        <v>0.99999337714815506</v>
      </c>
      <c r="D105" s="81"/>
      <c r="E105" s="81"/>
      <c r="F105" s="82"/>
      <c r="G105" s="81"/>
    </row>
    <row r="106" spans="1:7" x14ac:dyDescent="0.2">
      <c r="A106" s="55">
        <f t="shared" si="5"/>
        <v>80</v>
      </c>
      <c r="B106" s="55">
        <f t="shared" si="3"/>
        <v>80.5</v>
      </c>
      <c r="C106" s="80">
        <f t="shared" si="4"/>
        <v>0.99999337714815506</v>
      </c>
      <c r="D106" s="81"/>
      <c r="E106" s="81"/>
      <c r="F106" s="82"/>
      <c r="G106" s="81"/>
    </row>
    <row r="107" spans="1:7" x14ac:dyDescent="0.2">
      <c r="A107" s="55">
        <f t="shared" si="5"/>
        <v>80</v>
      </c>
      <c r="B107" s="55">
        <f t="shared" si="3"/>
        <v>80.5</v>
      </c>
      <c r="C107" s="80">
        <f t="shared" si="4"/>
        <v>0.99999337714815506</v>
      </c>
      <c r="D107" s="81"/>
      <c r="E107" s="81"/>
      <c r="F107" s="82"/>
      <c r="G107" s="81"/>
    </row>
    <row r="108" spans="1:7" x14ac:dyDescent="0.2">
      <c r="A108" s="55">
        <f t="shared" si="5"/>
        <v>80</v>
      </c>
      <c r="B108" s="55">
        <f t="shared" si="3"/>
        <v>80.5</v>
      </c>
      <c r="C108" s="80">
        <f t="shared" si="4"/>
        <v>0.99999337714815506</v>
      </c>
      <c r="D108" s="81"/>
      <c r="E108" s="81"/>
      <c r="F108" s="82"/>
      <c r="G108" s="81"/>
    </row>
    <row r="109" spans="1:7" x14ac:dyDescent="0.2">
      <c r="A109" s="55">
        <f t="shared" si="5"/>
        <v>80</v>
      </c>
      <c r="B109" s="55">
        <f t="shared" si="3"/>
        <v>80.5</v>
      </c>
      <c r="C109" s="80">
        <f t="shared" si="4"/>
        <v>0.99999337714815506</v>
      </c>
      <c r="D109" s="81"/>
      <c r="E109" s="81"/>
      <c r="F109" s="82"/>
      <c r="G109" s="81"/>
    </row>
    <row r="110" spans="1:7" x14ac:dyDescent="0.2">
      <c r="A110" s="55">
        <f t="shared" si="5"/>
        <v>80</v>
      </c>
      <c r="B110" s="55">
        <f t="shared" si="3"/>
        <v>80.5</v>
      </c>
      <c r="C110" s="80">
        <f t="shared" si="4"/>
        <v>0.99999337714815506</v>
      </c>
      <c r="D110" s="81"/>
      <c r="E110" s="81"/>
      <c r="F110" s="82"/>
      <c r="G110" s="81"/>
    </row>
    <row r="111" spans="1:7" x14ac:dyDescent="0.2">
      <c r="A111" s="55">
        <f t="shared" si="5"/>
        <v>80</v>
      </c>
      <c r="B111" s="55">
        <f t="shared" si="3"/>
        <v>80.5</v>
      </c>
      <c r="C111" s="80">
        <f t="shared" si="4"/>
        <v>0.99999337714815506</v>
      </c>
      <c r="D111" s="81"/>
      <c r="E111" s="81"/>
      <c r="F111" s="82"/>
      <c r="G111" s="81"/>
    </row>
    <row r="112" spans="1:7" x14ac:dyDescent="0.2">
      <c r="A112" s="55">
        <f t="shared" si="5"/>
        <v>80</v>
      </c>
      <c r="B112" s="55">
        <f t="shared" si="3"/>
        <v>80.5</v>
      </c>
      <c r="C112" s="80">
        <f t="shared" si="4"/>
        <v>0.99999337714815506</v>
      </c>
      <c r="D112" s="81"/>
      <c r="E112" s="81"/>
      <c r="F112" s="82"/>
      <c r="G112" s="81"/>
    </row>
    <row r="113" spans="1:7" x14ac:dyDescent="0.2">
      <c r="A113" s="55">
        <f t="shared" si="5"/>
        <v>80</v>
      </c>
      <c r="B113" s="55">
        <f t="shared" si="3"/>
        <v>80.5</v>
      </c>
      <c r="C113" s="80">
        <f t="shared" si="4"/>
        <v>0.99999337714815506</v>
      </c>
      <c r="D113" s="81"/>
      <c r="E113" s="81"/>
      <c r="F113" s="82"/>
      <c r="G113" s="81"/>
    </row>
    <row r="114" spans="1:7" x14ac:dyDescent="0.2">
      <c r="A114" s="55">
        <f t="shared" si="5"/>
        <v>80</v>
      </c>
      <c r="B114" s="55">
        <f t="shared" si="3"/>
        <v>80.5</v>
      </c>
      <c r="C114" s="80">
        <f t="shared" si="4"/>
        <v>0.99999337714815506</v>
      </c>
      <c r="D114" s="81"/>
      <c r="E114" s="81"/>
      <c r="F114" s="82"/>
      <c r="G114" s="81"/>
    </row>
    <row r="115" spans="1:7" x14ac:dyDescent="0.2">
      <c r="A115" s="55">
        <f t="shared" si="5"/>
        <v>80</v>
      </c>
      <c r="B115" s="55">
        <f t="shared" si="3"/>
        <v>80.5</v>
      </c>
      <c r="C115" s="80">
        <f t="shared" si="4"/>
        <v>0.99999337714815506</v>
      </c>
      <c r="D115" s="81"/>
      <c r="E115" s="81"/>
      <c r="F115" s="82"/>
      <c r="G115" s="81"/>
    </row>
    <row r="116" spans="1:7" x14ac:dyDescent="0.2">
      <c r="A116" s="55">
        <f t="shared" si="5"/>
        <v>80</v>
      </c>
      <c r="B116" s="55">
        <f t="shared" si="3"/>
        <v>80.5</v>
      </c>
      <c r="C116" s="80">
        <f t="shared" si="4"/>
        <v>0.99999337714815506</v>
      </c>
      <c r="D116" s="81"/>
      <c r="E116" s="81"/>
      <c r="F116" s="82"/>
      <c r="G116" s="81"/>
    </row>
    <row r="117" spans="1:7" x14ac:dyDescent="0.2">
      <c r="A117" s="55">
        <f t="shared" si="5"/>
        <v>80</v>
      </c>
      <c r="B117" s="55">
        <f t="shared" si="3"/>
        <v>80.5</v>
      </c>
      <c r="C117" s="80">
        <f t="shared" si="4"/>
        <v>0.99999337714815506</v>
      </c>
      <c r="D117" s="81"/>
      <c r="E117" s="81"/>
      <c r="F117" s="82"/>
      <c r="G117" s="81"/>
    </row>
    <row r="118" spans="1:7" x14ac:dyDescent="0.2">
      <c r="A118" s="55">
        <f t="shared" si="5"/>
        <v>80</v>
      </c>
      <c r="B118" s="55">
        <f t="shared" si="3"/>
        <v>80.5</v>
      </c>
      <c r="C118" s="80">
        <f t="shared" si="4"/>
        <v>0.99999337714815506</v>
      </c>
      <c r="D118" s="81"/>
      <c r="E118" s="81"/>
      <c r="F118" s="82"/>
      <c r="G118" s="81"/>
    </row>
    <row r="119" spans="1:7" x14ac:dyDescent="0.2">
      <c r="A119" s="55">
        <f t="shared" si="5"/>
        <v>80</v>
      </c>
      <c r="B119" s="55">
        <f t="shared" si="3"/>
        <v>80.5</v>
      </c>
      <c r="C119" s="80">
        <f t="shared" si="4"/>
        <v>0.99999337714815506</v>
      </c>
      <c r="D119" s="81"/>
      <c r="E119" s="81"/>
      <c r="F119" s="82"/>
      <c r="G119" s="81"/>
    </row>
    <row r="120" spans="1:7" x14ac:dyDescent="0.2">
      <c r="A120" s="55">
        <f t="shared" si="5"/>
        <v>80</v>
      </c>
      <c r="B120" s="55">
        <f t="shared" si="3"/>
        <v>80.5</v>
      </c>
      <c r="C120" s="80">
        <f t="shared" si="4"/>
        <v>0.99999337714815506</v>
      </c>
      <c r="D120" s="81"/>
      <c r="E120" s="81"/>
      <c r="F120" s="82"/>
      <c r="G120" s="81"/>
    </row>
    <row r="121" spans="1:7" x14ac:dyDescent="0.2">
      <c r="A121" s="55">
        <f t="shared" si="5"/>
        <v>80</v>
      </c>
      <c r="B121" s="55">
        <f t="shared" si="3"/>
        <v>80.5</v>
      </c>
      <c r="C121" s="80">
        <f t="shared" si="4"/>
        <v>0.99999337714815506</v>
      </c>
      <c r="D121" s="81"/>
      <c r="E121" s="81"/>
      <c r="F121" s="82"/>
      <c r="G121" s="81"/>
    </row>
    <row r="122" spans="1:7" x14ac:dyDescent="0.2">
      <c r="A122" s="55">
        <f t="shared" si="5"/>
        <v>80</v>
      </c>
      <c r="B122" s="55">
        <f t="shared" si="3"/>
        <v>80.5</v>
      </c>
      <c r="C122" s="80">
        <f t="shared" si="4"/>
        <v>0.99999337714815506</v>
      </c>
      <c r="D122" s="81"/>
      <c r="E122" s="81"/>
      <c r="F122" s="82"/>
      <c r="G122" s="81"/>
    </row>
    <row r="123" spans="1:7" x14ac:dyDescent="0.2">
      <c r="A123" s="55">
        <f t="shared" si="5"/>
        <v>80</v>
      </c>
      <c r="B123" s="55">
        <f t="shared" si="3"/>
        <v>80.5</v>
      </c>
      <c r="C123" s="80">
        <f t="shared" si="4"/>
        <v>0.99999337714815506</v>
      </c>
      <c r="D123" s="81"/>
      <c r="E123" s="81"/>
      <c r="F123" s="82"/>
      <c r="G123" s="81"/>
    </row>
    <row r="124" spans="1:7" x14ac:dyDescent="0.2">
      <c r="A124" s="55">
        <f t="shared" si="5"/>
        <v>80</v>
      </c>
      <c r="B124" s="55">
        <f t="shared" si="3"/>
        <v>80.5</v>
      </c>
      <c r="C124" s="80">
        <f t="shared" si="4"/>
        <v>0.99999337714815506</v>
      </c>
      <c r="D124" s="81"/>
      <c r="E124" s="81"/>
      <c r="F124" s="82"/>
      <c r="G124" s="81"/>
    </row>
    <row r="125" spans="1:7" x14ac:dyDescent="0.2">
      <c r="A125" s="55">
        <f t="shared" si="5"/>
        <v>80</v>
      </c>
      <c r="B125" s="55">
        <f t="shared" si="3"/>
        <v>80.5</v>
      </c>
      <c r="C125" s="80">
        <f t="shared" si="4"/>
        <v>0.99999337714815506</v>
      </c>
      <c r="D125" s="81"/>
      <c r="E125" s="81"/>
      <c r="F125" s="82"/>
      <c r="G125" s="81"/>
    </row>
    <row r="126" spans="1:7" x14ac:dyDescent="0.2">
      <c r="A126" s="55">
        <f t="shared" si="5"/>
        <v>80</v>
      </c>
      <c r="B126" s="55">
        <f t="shared" si="3"/>
        <v>80.5</v>
      </c>
      <c r="C126" s="80">
        <f t="shared" si="4"/>
        <v>0.99999337714815506</v>
      </c>
      <c r="D126" s="81"/>
      <c r="E126" s="81"/>
      <c r="F126" s="82"/>
      <c r="G126" s="81"/>
    </row>
    <row r="127" spans="1:7" x14ac:dyDescent="0.2">
      <c r="A127" s="55">
        <f t="shared" si="5"/>
        <v>80</v>
      </c>
      <c r="B127" s="55">
        <f t="shared" si="3"/>
        <v>80.5</v>
      </c>
      <c r="C127" s="80">
        <f t="shared" si="4"/>
        <v>0.99999337714815506</v>
      </c>
      <c r="D127" s="81"/>
      <c r="E127" s="81"/>
      <c r="F127" s="82"/>
      <c r="G127" s="81"/>
    </row>
    <row r="128" spans="1:7" x14ac:dyDescent="0.2">
      <c r="A128" s="55">
        <f t="shared" si="5"/>
        <v>80</v>
      </c>
      <c r="B128" s="55">
        <f t="shared" si="3"/>
        <v>80.5</v>
      </c>
      <c r="C128" s="80">
        <f t="shared" si="4"/>
        <v>0.99999337714815506</v>
      </c>
      <c r="D128" s="81"/>
      <c r="E128" s="81"/>
      <c r="F128" s="82"/>
      <c r="G128" s="81"/>
    </row>
    <row r="129" spans="1:7" x14ac:dyDescent="0.2">
      <c r="A129" s="55">
        <f t="shared" si="5"/>
        <v>80</v>
      </c>
      <c r="B129" s="55">
        <f t="shared" si="3"/>
        <v>80.5</v>
      </c>
      <c r="C129" s="80">
        <f t="shared" si="4"/>
        <v>0.99999337714815506</v>
      </c>
      <c r="D129" s="81"/>
      <c r="E129" s="81"/>
      <c r="F129" s="82"/>
      <c r="G129" s="81"/>
    </row>
    <row r="130" spans="1:7" x14ac:dyDescent="0.2">
      <c r="A130" s="55">
        <f t="shared" si="5"/>
        <v>80</v>
      </c>
      <c r="B130" s="55">
        <f t="shared" si="3"/>
        <v>80.5</v>
      </c>
      <c r="C130" s="80">
        <f t="shared" si="4"/>
        <v>0.99999337714815506</v>
      </c>
      <c r="D130" s="81"/>
      <c r="E130" s="81"/>
      <c r="F130" s="82"/>
      <c r="G130" s="81"/>
    </row>
    <row r="131" spans="1:7" x14ac:dyDescent="0.2">
      <c r="A131" s="55">
        <f t="shared" si="5"/>
        <v>80</v>
      </c>
      <c r="B131" s="55">
        <f t="shared" si="3"/>
        <v>80.5</v>
      </c>
      <c r="C131" s="80">
        <f t="shared" si="4"/>
        <v>0.99999337714815506</v>
      </c>
      <c r="D131" s="81"/>
      <c r="E131" s="81"/>
      <c r="F131" s="82"/>
      <c r="G131" s="81"/>
    </row>
    <row r="132" spans="1:7" x14ac:dyDescent="0.2">
      <c r="A132" s="55">
        <f t="shared" si="5"/>
        <v>80</v>
      </c>
      <c r="B132" s="55">
        <f t="shared" si="3"/>
        <v>80.5</v>
      </c>
      <c r="C132" s="80">
        <f t="shared" si="4"/>
        <v>0.99999337714815506</v>
      </c>
      <c r="D132" s="81"/>
      <c r="E132" s="81"/>
      <c r="F132" s="82"/>
      <c r="G132" s="81"/>
    </row>
    <row r="133" spans="1:7" x14ac:dyDescent="0.2">
      <c r="A133" s="55">
        <f t="shared" si="5"/>
        <v>80</v>
      </c>
      <c r="B133" s="55">
        <f t="shared" si="3"/>
        <v>80.5</v>
      </c>
      <c r="C133" s="80">
        <f t="shared" si="4"/>
        <v>0.99999337714815506</v>
      </c>
      <c r="D133" s="81"/>
      <c r="E133" s="81"/>
      <c r="F133" s="82"/>
      <c r="G133" s="81"/>
    </row>
    <row r="134" spans="1:7" x14ac:dyDescent="0.2">
      <c r="A134" s="55">
        <f t="shared" si="5"/>
        <v>80</v>
      </c>
      <c r="B134" s="55">
        <f t="shared" si="3"/>
        <v>80.5</v>
      </c>
      <c r="C134" s="80">
        <f t="shared" si="4"/>
        <v>0.99999337714815506</v>
      </c>
      <c r="D134" s="81"/>
      <c r="E134" s="81"/>
      <c r="F134" s="82"/>
      <c r="G134" s="81"/>
    </row>
    <row r="135" spans="1:7" x14ac:dyDescent="0.2">
      <c r="A135" s="55">
        <f t="shared" si="5"/>
        <v>80</v>
      </c>
      <c r="B135" s="55">
        <f t="shared" si="3"/>
        <v>80.5</v>
      </c>
      <c r="C135" s="80">
        <f t="shared" si="4"/>
        <v>0.99999337714815506</v>
      </c>
      <c r="D135" s="81"/>
      <c r="E135" s="81"/>
      <c r="F135" s="82"/>
      <c r="G135" s="81"/>
    </row>
    <row r="136" spans="1:7" x14ac:dyDescent="0.2">
      <c r="A136" s="55">
        <f t="shared" si="5"/>
        <v>80</v>
      </c>
      <c r="B136" s="55">
        <f t="shared" si="3"/>
        <v>80.5</v>
      </c>
      <c r="C136" s="80">
        <f t="shared" si="4"/>
        <v>0.99999337714815506</v>
      </c>
      <c r="D136" s="81"/>
      <c r="E136" s="81"/>
      <c r="F136" s="82"/>
      <c r="G136" s="81"/>
    </row>
    <row r="137" spans="1:7" x14ac:dyDescent="0.2">
      <c r="A137" s="55">
        <f t="shared" si="5"/>
        <v>80</v>
      </c>
      <c r="B137" s="55">
        <f t="shared" si="3"/>
        <v>80.5</v>
      </c>
      <c r="C137" s="80">
        <f t="shared" si="4"/>
        <v>0.99999337714815506</v>
      </c>
      <c r="D137" s="81"/>
      <c r="E137" s="81"/>
      <c r="F137" s="82"/>
      <c r="G137" s="81"/>
    </row>
    <row r="138" spans="1:7" x14ac:dyDescent="0.2">
      <c r="A138" s="55">
        <f t="shared" si="5"/>
        <v>80</v>
      </c>
      <c r="B138" s="55">
        <f t="shared" si="3"/>
        <v>80.5</v>
      </c>
      <c r="C138" s="80">
        <f t="shared" si="4"/>
        <v>0.99999337714815506</v>
      </c>
      <c r="D138" s="81"/>
      <c r="E138" s="81"/>
      <c r="F138" s="82"/>
      <c r="G138" s="81"/>
    </row>
    <row r="139" spans="1:7" x14ac:dyDescent="0.2">
      <c r="A139" s="55">
        <f t="shared" si="5"/>
        <v>80</v>
      </c>
      <c r="B139" s="55">
        <f t="shared" si="3"/>
        <v>80.5</v>
      </c>
      <c r="C139" s="80">
        <f t="shared" si="4"/>
        <v>0.99999337714815506</v>
      </c>
      <c r="D139" s="81"/>
      <c r="E139" s="81"/>
      <c r="F139" s="82"/>
      <c r="G139" s="81"/>
    </row>
    <row r="140" spans="1:7" x14ac:dyDescent="0.2">
      <c r="A140" s="55">
        <f t="shared" si="5"/>
        <v>80</v>
      </c>
      <c r="B140" s="55">
        <f t="shared" si="3"/>
        <v>80.5</v>
      </c>
      <c r="C140" s="80">
        <f t="shared" si="4"/>
        <v>0.99999337714815506</v>
      </c>
      <c r="D140" s="81"/>
      <c r="E140" s="81"/>
      <c r="F140" s="82"/>
      <c r="G140" s="81"/>
    </row>
    <row r="141" spans="1:7" x14ac:dyDescent="0.2">
      <c r="A141" s="55">
        <f t="shared" si="5"/>
        <v>80</v>
      </c>
      <c r="B141" s="55">
        <f t="shared" si="3"/>
        <v>80.5</v>
      </c>
      <c r="C141" s="80">
        <f t="shared" si="4"/>
        <v>0.99999337714815506</v>
      </c>
      <c r="D141" s="81"/>
      <c r="E141" s="81"/>
      <c r="F141" s="82"/>
      <c r="G141" s="81"/>
    </row>
    <row r="142" spans="1:7" x14ac:dyDescent="0.2">
      <c r="D142" s="81"/>
      <c r="E142" s="81"/>
      <c r="G142" s="81"/>
    </row>
  </sheetData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42"/>
  <sheetViews>
    <sheetView topLeftCell="A3" workbookViewId="0">
      <selection activeCell="L5" sqref="L5"/>
    </sheetView>
  </sheetViews>
  <sheetFormatPr defaultRowHeight="12.75" x14ac:dyDescent="0.2"/>
  <cols>
    <col min="1" max="1" width="56.28515625" style="55" bestFit="1" customWidth="1"/>
    <col min="2" max="2" width="10" style="55" bestFit="1" customWidth="1"/>
    <col min="3" max="4" width="11.140625" style="55" bestFit="1" customWidth="1"/>
    <col min="5" max="5" width="4.7109375" style="55" bestFit="1" customWidth="1"/>
    <col min="6" max="6" width="5.28515625" style="55" bestFit="1" customWidth="1"/>
    <col min="7" max="7" width="9" style="55" customWidth="1"/>
    <col min="8" max="256" width="9.140625" style="55"/>
    <col min="257" max="257" width="56.28515625" style="55" bestFit="1" customWidth="1"/>
    <col min="258" max="258" width="10" style="55" bestFit="1" customWidth="1"/>
    <col min="259" max="260" width="11.140625" style="55" bestFit="1" customWidth="1"/>
    <col min="261" max="261" width="4.7109375" style="55" bestFit="1" customWidth="1"/>
    <col min="262" max="262" width="5.28515625" style="55" bestFit="1" customWidth="1"/>
    <col min="263" max="263" width="9" style="55" customWidth="1"/>
    <col min="264" max="512" width="9.140625" style="55"/>
    <col min="513" max="513" width="56.28515625" style="55" bestFit="1" customWidth="1"/>
    <col min="514" max="514" width="10" style="55" bestFit="1" customWidth="1"/>
    <col min="515" max="516" width="11.140625" style="55" bestFit="1" customWidth="1"/>
    <col min="517" max="517" width="4.7109375" style="55" bestFit="1" customWidth="1"/>
    <col min="518" max="518" width="5.28515625" style="55" bestFit="1" customWidth="1"/>
    <col min="519" max="519" width="9" style="55" customWidth="1"/>
    <col min="520" max="768" width="9.140625" style="55"/>
    <col min="769" max="769" width="56.28515625" style="55" bestFit="1" customWidth="1"/>
    <col min="770" max="770" width="10" style="55" bestFit="1" customWidth="1"/>
    <col min="771" max="772" width="11.140625" style="55" bestFit="1" customWidth="1"/>
    <col min="773" max="773" width="4.7109375" style="55" bestFit="1" customWidth="1"/>
    <col min="774" max="774" width="5.28515625" style="55" bestFit="1" customWidth="1"/>
    <col min="775" max="775" width="9" style="55" customWidth="1"/>
    <col min="776" max="1024" width="9.140625" style="55"/>
    <col min="1025" max="1025" width="56.28515625" style="55" bestFit="1" customWidth="1"/>
    <col min="1026" max="1026" width="10" style="55" bestFit="1" customWidth="1"/>
    <col min="1027" max="1028" width="11.140625" style="55" bestFit="1" customWidth="1"/>
    <col min="1029" max="1029" width="4.7109375" style="55" bestFit="1" customWidth="1"/>
    <col min="1030" max="1030" width="5.28515625" style="55" bestFit="1" customWidth="1"/>
    <col min="1031" max="1031" width="9" style="55" customWidth="1"/>
    <col min="1032" max="1280" width="9.140625" style="55"/>
    <col min="1281" max="1281" width="56.28515625" style="55" bestFit="1" customWidth="1"/>
    <col min="1282" max="1282" width="10" style="55" bestFit="1" customWidth="1"/>
    <col min="1283" max="1284" width="11.140625" style="55" bestFit="1" customWidth="1"/>
    <col min="1285" max="1285" width="4.7109375" style="55" bestFit="1" customWidth="1"/>
    <col min="1286" max="1286" width="5.28515625" style="55" bestFit="1" customWidth="1"/>
    <col min="1287" max="1287" width="9" style="55" customWidth="1"/>
    <col min="1288" max="1536" width="9.140625" style="55"/>
    <col min="1537" max="1537" width="56.28515625" style="55" bestFit="1" customWidth="1"/>
    <col min="1538" max="1538" width="10" style="55" bestFit="1" customWidth="1"/>
    <col min="1539" max="1540" width="11.140625" style="55" bestFit="1" customWidth="1"/>
    <col min="1541" max="1541" width="4.7109375" style="55" bestFit="1" customWidth="1"/>
    <col min="1542" max="1542" width="5.28515625" style="55" bestFit="1" customWidth="1"/>
    <col min="1543" max="1543" width="9" style="55" customWidth="1"/>
    <col min="1544" max="1792" width="9.140625" style="55"/>
    <col min="1793" max="1793" width="56.28515625" style="55" bestFit="1" customWidth="1"/>
    <col min="1794" max="1794" width="10" style="55" bestFit="1" customWidth="1"/>
    <col min="1795" max="1796" width="11.140625" style="55" bestFit="1" customWidth="1"/>
    <col min="1797" max="1797" width="4.7109375" style="55" bestFit="1" customWidth="1"/>
    <col min="1798" max="1798" width="5.28515625" style="55" bestFit="1" customWidth="1"/>
    <col min="1799" max="1799" width="9" style="55" customWidth="1"/>
    <col min="1800" max="2048" width="9.140625" style="55"/>
    <col min="2049" max="2049" width="56.28515625" style="55" bestFit="1" customWidth="1"/>
    <col min="2050" max="2050" width="10" style="55" bestFit="1" customWidth="1"/>
    <col min="2051" max="2052" width="11.140625" style="55" bestFit="1" customWidth="1"/>
    <col min="2053" max="2053" width="4.7109375" style="55" bestFit="1" customWidth="1"/>
    <col min="2054" max="2054" width="5.28515625" style="55" bestFit="1" customWidth="1"/>
    <col min="2055" max="2055" width="9" style="55" customWidth="1"/>
    <col min="2056" max="2304" width="9.140625" style="55"/>
    <col min="2305" max="2305" width="56.28515625" style="55" bestFit="1" customWidth="1"/>
    <col min="2306" max="2306" width="10" style="55" bestFit="1" customWidth="1"/>
    <col min="2307" max="2308" width="11.140625" style="55" bestFit="1" customWidth="1"/>
    <col min="2309" max="2309" width="4.7109375" style="55" bestFit="1" customWidth="1"/>
    <col min="2310" max="2310" width="5.28515625" style="55" bestFit="1" customWidth="1"/>
    <col min="2311" max="2311" width="9" style="55" customWidth="1"/>
    <col min="2312" max="2560" width="9.140625" style="55"/>
    <col min="2561" max="2561" width="56.28515625" style="55" bestFit="1" customWidth="1"/>
    <col min="2562" max="2562" width="10" style="55" bestFit="1" customWidth="1"/>
    <col min="2563" max="2564" width="11.140625" style="55" bestFit="1" customWidth="1"/>
    <col min="2565" max="2565" width="4.7109375" style="55" bestFit="1" customWidth="1"/>
    <col min="2566" max="2566" width="5.28515625" style="55" bestFit="1" customWidth="1"/>
    <col min="2567" max="2567" width="9" style="55" customWidth="1"/>
    <col min="2568" max="2816" width="9.140625" style="55"/>
    <col min="2817" max="2817" width="56.28515625" style="55" bestFit="1" customWidth="1"/>
    <col min="2818" max="2818" width="10" style="55" bestFit="1" customWidth="1"/>
    <col min="2819" max="2820" width="11.140625" style="55" bestFit="1" customWidth="1"/>
    <col min="2821" max="2821" width="4.7109375" style="55" bestFit="1" customWidth="1"/>
    <col min="2822" max="2822" width="5.28515625" style="55" bestFit="1" customWidth="1"/>
    <col min="2823" max="2823" width="9" style="55" customWidth="1"/>
    <col min="2824" max="3072" width="9.140625" style="55"/>
    <col min="3073" max="3073" width="56.28515625" style="55" bestFit="1" customWidth="1"/>
    <col min="3074" max="3074" width="10" style="55" bestFit="1" customWidth="1"/>
    <col min="3075" max="3076" width="11.140625" style="55" bestFit="1" customWidth="1"/>
    <col min="3077" max="3077" width="4.7109375" style="55" bestFit="1" customWidth="1"/>
    <col min="3078" max="3078" width="5.28515625" style="55" bestFit="1" customWidth="1"/>
    <col min="3079" max="3079" width="9" style="55" customWidth="1"/>
    <col min="3080" max="3328" width="9.140625" style="55"/>
    <col min="3329" max="3329" width="56.28515625" style="55" bestFit="1" customWidth="1"/>
    <col min="3330" max="3330" width="10" style="55" bestFit="1" customWidth="1"/>
    <col min="3331" max="3332" width="11.140625" style="55" bestFit="1" customWidth="1"/>
    <col min="3333" max="3333" width="4.7109375" style="55" bestFit="1" customWidth="1"/>
    <col min="3334" max="3334" width="5.28515625" style="55" bestFit="1" customWidth="1"/>
    <col min="3335" max="3335" width="9" style="55" customWidth="1"/>
    <col min="3336" max="3584" width="9.140625" style="55"/>
    <col min="3585" max="3585" width="56.28515625" style="55" bestFit="1" customWidth="1"/>
    <col min="3586" max="3586" width="10" style="55" bestFit="1" customWidth="1"/>
    <col min="3587" max="3588" width="11.140625" style="55" bestFit="1" customWidth="1"/>
    <col min="3589" max="3589" width="4.7109375" style="55" bestFit="1" customWidth="1"/>
    <col min="3590" max="3590" width="5.28515625" style="55" bestFit="1" customWidth="1"/>
    <col min="3591" max="3591" width="9" style="55" customWidth="1"/>
    <col min="3592" max="3840" width="9.140625" style="55"/>
    <col min="3841" max="3841" width="56.28515625" style="55" bestFit="1" customWidth="1"/>
    <col min="3842" max="3842" width="10" style="55" bestFit="1" customWidth="1"/>
    <col min="3843" max="3844" width="11.140625" style="55" bestFit="1" customWidth="1"/>
    <col min="3845" max="3845" width="4.7109375" style="55" bestFit="1" customWidth="1"/>
    <col min="3846" max="3846" width="5.28515625" style="55" bestFit="1" customWidth="1"/>
    <col min="3847" max="3847" width="9" style="55" customWidth="1"/>
    <col min="3848" max="4096" width="9.140625" style="55"/>
    <col min="4097" max="4097" width="56.28515625" style="55" bestFit="1" customWidth="1"/>
    <col min="4098" max="4098" width="10" style="55" bestFit="1" customWidth="1"/>
    <col min="4099" max="4100" width="11.140625" style="55" bestFit="1" customWidth="1"/>
    <col min="4101" max="4101" width="4.7109375" style="55" bestFit="1" customWidth="1"/>
    <col min="4102" max="4102" width="5.28515625" style="55" bestFit="1" customWidth="1"/>
    <col min="4103" max="4103" width="9" style="55" customWidth="1"/>
    <col min="4104" max="4352" width="9.140625" style="55"/>
    <col min="4353" max="4353" width="56.28515625" style="55" bestFit="1" customWidth="1"/>
    <col min="4354" max="4354" width="10" style="55" bestFit="1" customWidth="1"/>
    <col min="4355" max="4356" width="11.140625" style="55" bestFit="1" customWidth="1"/>
    <col min="4357" max="4357" width="4.7109375" style="55" bestFit="1" customWidth="1"/>
    <col min="4358" max="4358" width="5.28515625" style="55" bestFit="1" customWidth="1"/>
    <col min="4359" max="4359" width="9" style="55" customWidth="1"/>
    <col min="4360" max="4608" width="9.140625" style="55"/>
    <col min="4609" max="4609" width="56.28515625" style="55" bestFit="1" customWidth="1"/>
    <col min="4610" max="4610" width="10" style="55" bestFit="1" customWidth="1"/>
    <col min="4611" max="4612" width="11.140625" style="55" bestFit="1" customWidth="1"/>
    <col min="4613" max="4613" width="4.7109375" style="55" bestFit="1" customWidth="1"/>
    <col min="4614" max="4614" width="5.28515625" style="55" bestFit="1" customWidth="1"/>
    <col min="4615" max="4615" width="9" style="55" customWidth="1"/>
    <col min="4616" max="4864" width="9.140625" style="55"/>
    <col min="4865" max="4865" width="56.28515625" style="55" bestFit="1" customWidth="1"/>
    <col min="4866" max="4866" width="10" style="55" bestFit="1" customWidth="1"/>
    <col min="4867" max="4868" width="11.140625" style="55" bestFit="1" customWidth="1"/>
    <col min="4869" max="4869" width="4.7109375" style="55" bestFit="1" customWidth="1"/>
    <col min="4870" max="4870" width="5.28515625" style="55" bestFit="1" customWidth="1"/>
    <col min="4871" max="4871" width="9" style="55" customWidth="1"/>
    <col min="4872" max="5120" width="9.140625" style="55"/>
    <col min="5121" max="5121" width="56.28515625" style="55" bestFit="1" customWidth="1"/>
    <col min="5122" max="5122" width="10" style="55" bestFit="1" customWidth="1"/>
    <col min="5123" max="5124" width="11.140625" style="55" bestFit="1" customWidth="1"/>
    <col min="5125" max="5125" width="4.7109375" style="55" bestFit="1" customWidth="1"/>
    <col min="5126" max="5126" width="5.28515625" style="55" bestFit="1" customWidth="1"/>
    <col min="5127" max="5127" width="9" style="55" customWidth="1"/>
    <col min="5128" max="5376" width="9.140625" style="55"/>
    <col min="5377" max="5377" width="56.28515625" style="55" bestFit="1" customWidth="1"/>
    <col min="5378" max="5378" width="10" style="55" bestFit="1" customWidth="1"/>
    <col min="5379" max="5380" width="11.140625" style="55" bestFit="1" customWidth="1"/>
    <col min="5381" max="5381" width="4.7109375" style="55" bestFit="1" customWidth="1"/>
    <col min="5382" max="5382" width="5.28515625" style="55" bestFit="1" customWidth="1"/>
    <col min="5383" max="5383" width="9" style="55" customWidth="1"/>
    <col min="5384" max="5632" width="9.140625" style="55"/>
    <col min="5633" max="5633" width="56.28515625" style="55" bestFit="1" customWidth="1"/>
    <col min="5634" max="5634" width="10" style="55" bestFit="1" customWidth="1"/>
    <col min="5635" max="5636" width="11.140625" style="55" bestFit="1" customWidth="1"/>
    <col min="5637" max="5637" width="4.7109375" style="55" bestFit="1" customWidth="1"/>
    <col min="5638" max="5638" width="5.28515625" style="55" bestFit="1" customWidth="1"/>
    <col min="5639" max="5639" width="9" style="55" customWidth="1"/>
    <col min="5640" max="5888" width="9.140625" style="55"/>
    <col min="5889" max="5889" width="56.28515625" style="55" bestFit="1" customWidth="1"/>
    <col min="5890" max="5890" width="10" style="55" bestFit="1" customWidth="1"/>
    <col min="5891" max="5892" width="11.140625" style="55" bestFit="1" customWidth="1"/>
    <col min="5893" max="5893" width="4.7109375" style="55" bestFit="1" customWidth="1"/>
    <col min="5894" max="5894" width="5.28515625" style="55" bestFit="1" customWidth="1"/>
    <col min="5895" max="5895" width="9" style="55" customWidth="1"/>
    <col min="5896" max="6144" width="9.140625" style="55"/>
    <col min="6145" max="6145" width="56.28515625" style="55" bestFit="1" customWidth="1"/>
    <col min="6146" max="6146" width="10" style="55" bestFit="1" customWidth="1"/>
    <col min="6147" max="6148" width="11.140625" style="55" bestFit="1" customWidth="1"/>
    <col min="6149" max="6149" width="4.7109375" style="55" bestFit="1" customWidth="1"/>
    <col min="6150" max="6150" width="5.28515625" style="55" bestFit="1" customWidth="1"/>
    <col min="6151" max="6151" width="9" style="55" customWidth="1"/>
    <col min="6152" max="6400" width="9.140625" style="55"/>
    <col min="6401" max="6401" width="56.28515625" style="55" bestFit="1" customWidth="1"/>
    <col min="6402" max="6402" width="10" style="55" bestFit="1" customWidth="1"/>
    <col min="6403" max="6404" width="11.140625" style="55" bestFit="1" customWidth="1"/>
    <col min="6405" max="6405" width="4.7109375" style="55" bestFit="1" customWidth="1"/>
    <col min="6406" max="6406" width="5.28515625" style="55" bestFit="1" customWidth="1"/>
    <col min="6407" max="6407" width="9" style="55" customWidth="1"/>
    <col min="6408" max="6656" width="9.140625" style="55"/>
    <col min="6657" max="6657" width="56.28515625" style="55" bestFit="1" customWidth="1"/>
    <col min="6658" max="6658" width="10" style="55" bestFit="1" customWidth="1"/>
    <col min="6659" max="6660" width="11.140625" style="55" bestFit="1" customWidth="1"/>
    <col min="6661" max="6661" width="4.7109375" style="55" bestFit="1" customWidth="1"/>
    <col min="6662" max="6662" width="5.28515625" style="55" bestFit="1" customWidth="1"/>
    <col min="6663" max="6663" width="9" style="55" customWidth="1"/>
    <col min="6664" max="6912" width="9.140625" style="55"/>
    <col min="6913" max="6913" width="56.28515625" style="55" bestFit="1" customWidth="1"/>
    <col min="6914" max="6914" width="10" style="55" bestFit="1" customWidth="1"/>
    <col min="6915" max="6916" width="11.140625" style="55" bestFit="1" customWidth="1"/>
    <col min="6917" max="6917" width="4.7109375" style="55" bestFit="1" customWidth="1"/>
    <col min="6918" max="6918" width="5.28515625" style="55" bestFit="1" customWidth="1"/>
    <col min="6919" max="6919" width="9" style="55" customWidth="1"/>
    <col min="6920" max="7168" width="9.140625" style="55"/>
    <col min="7169" max="7169" width="56.28515625" style="55" bestFit="1" customWidth="1"/>
    <col min="7170" max="7170" width="10" style="55" bestFit="1" customWidth="1"/>
    <col min="7171" max="7172" width="11.140625" style="55" bestFit="1" customWidth="1"/>
    <col min="7173" max="7173" width="4.7109375" style="55" bestFit="1" customWidth="1"/>
    <col min="7174" max="7174" width="5.28515625" style="55" bestFit="1" customWidth="1"/>
    <col min="7175" max="7175" width="9" style="55" customWidth="1"/>
    <col min="7176" max="7424" width="9.140625" style="55"/>
    <col min="7425" max="7425" width="56.28515625" style="55" bestFit="1" customWidth="1"/>
    <col min="7426" max="7426" width="10" style="55" bestFit="1" customWidth="1"/>
    <col min="7427" max="7428" width="11.140625" style="55" bestFit="1" customWidth="1"/>
    <col min="7429" max="7429" width="4.7109375" style="55" bestFit="1" customWidth="1"/>
    <col min="7430" max="7430" width="5.28515625" style="55" bestFit="1" customWidth="1"/>
    <col min="7431" max="7431" width="9" style="55" customWidth="1"/>
    <col min="7432" max="7680" width="9.140625" style="55"/>
    <col min="7681" max="7681" width="56.28515625" style="55" bestFit="1" customWidth="1"/>
    <col min="7682" max="7682" width="10" style="55" bestFit="1" customWidth="1"/>
    <col min="7683" max="7684" width="11.140625" style="55" bestFit="1" customWidth="1"/>
    <col min="7685" max="7685" width="4.7109375" style="55" bestFit="1" customWidth="1"/>
    <col min="7686" max="7686" width="5.28515625" style="55" bestFit="1" customWidth="1"/>
    <col min="7687" max="7687" width="9" style="55" customWidth="1"/>
    <col min="7688" max="7936" width="9.140625" style="55"/>
    <col min="7937" max="7937" width="56.28515625" style="55" bestFit="1" customWidth="1"/>
    <col min="7938" max="7938" width="10" style="55" bestFit="1" customWidth="1"/>
    <col min="7939" max="7940" width="11.140625" style="55" bestFit="1" customWidth="1"/>
    <col min="7941" max="7941" width="4.7109375" style="55" bestFit="1" customWidth="1"/>
    <col min="7942" max="7942" width="5.28515625" style="55" bestFit="1" customWidth="1"/>
    <col min="7943" max="7943" width="9" style="55" customWidth="1"/>
    <col min="7944" max="8192" width="9.140625" style="55"/>
    <col min="8193" max="8193" width="56.28515625" style="55" bestFit="1" customWidth="1"/>
    <col min="8194" max="8194" width="10" style="55" bestFit="1" customWidth="1"/>
    <col min="8195" max="8196" width="11.140625" style="55" bestFit="1" customWidth="1"/>
    <col min="8197" max="8197" width="4.7109375" style="55" bestFit="1" customWidth="1"/>
    <col min="8198" max="8198" width="5.28515625" style="55" bestFit="1" customWidth="1"/>
    <col min="8199" max="8199" width="9" style="55" customWidth="1"/>
    <col min="8200" max="8448" width="9.140625" style="55"/>
    <col min="8449" max="8449" width="56.28515625" style="55" bestFit="1" customWidth="1"/>
    <col min="8450" max="8450" width="10" style="55" bestFit="1" customWidth="1"/>
    <col min="8451" max="8452" width="11.140625" style="55" bestFit="1" customWidth="1"/>
    <col min="8453" max="8453" width="4.7109375" style="55" bestFit="1" customWidth="1"/>
    <col min="8454" max="8454" width="5.28515625" style="55" bestFit="1" customWidth="1"/>
    <col min="8455" max="8455" width="9" style="55" customWidth="1"/>
    <col min="8456" max="8704" width="9.140625" style="55"/>
    <col min="8705" max="8705" width="56.28515625" style="55" bestFit="1" customWidth="1"/>
    <col min="8706" max="8706" width="10" style="55" bestFit="1" customWidth="1"/>
    <col min="8707" max="8708" width="11.140625" style="55" bestFit="1" customWidth="1"/>
    <col min="8709" max="8709" width="4.7109375" style="55" bestFit="1" customWidth="1"/>
    <col min="8710" max="8710" width="5.28515625" style="55" bestFit="1" customWidth="1"/>
    <col min="8711" max="8711" width="9" style="55" customWidth="1"/>
    <col min="8712" max="8960" width="9.140625" style="55"/>
    <col min="8961" max="8961" width="56.28515625" style="55" bestFit="1" customWidth="1"/>
    <col min="8962" max="8962" width="10" style="55" bestFit="1" customWidth="1"/>
    <col min="8963" max="8964" width="11.140625" style="55" bestFit="1" customWidth="1"/>
    <col min="8965" max="8965" width="4.7109375" style="55" bestFit="1" customWidth="1"/>
    <col min="8966" max="8966" width="5.28515625" style="55" bestFit="1" customWidth="1"/>
    <col min="8967" max="8967" width="9" style="55" customWidth="1"/>
    <col min="8968" max="9216" width="9.140625" style="55"/>
    <col min="9217" max="9217" width="56.28515625" style="55" bestFit="1" customWidth="1"/>
    <col min="9218" max="9218" width="10" style="55" bestFit="1" customWidth="1"/>
    <col min="9219" max="9220" width="11.140625" style="55" bestFit="1" customWidth="1"/>
    <col min="9221" max="9221" width="4.7109375" style="55" bestFit="1" customWidth="1"/>
    <col min="9222" max="9222" width="5.28515625" style="55" bestFit="1" customWidth="1"/>
    <col min="9223" max="9223" width="9" style="55" customWidth="1"/>
    <col min="9224" max="9472" width="9.140625" style="55"/>
    <col min="9473" max="9473" width="56.28515625" style="55" bestFit="1" customWidth="1"/>
    <col min="9474" max="9474" width="10" style="55" bestFit="1" customWidth="1"/>
    <col min="9475" max="9476" width="11.140625" style="55" bestFit="1" customWidth="1"/>
    <col min="9477" max="9477" width="4.7109375" style="55" bestFit="1" customWidth="1"/>
    <col min="9478" max="9478" width="5.28515625" style="55" bestFit="1" customWidth="1"/>
    <col min="9479" max="9479" width="9" style="55" customWidth="1"/>
    <col min="9480" max="9728" width="9.140625" style="55"/>
    <col min="9729" max="9729" width="56.28515625" style="55" bestFit="1" customWidth="1"/>
    <col min="9730" max="9730" width="10" style="55" bestFit="1" customWidth="1"/>
    <col min="9731" max="9732" width="11.140625" style="55" bestFit="1" customWidth="1"/>
    <col min="9733" max="9733" width="4.7109375" style="55" bestFit="1" customWidth="1"/>
    <col min="9734" max="9734" width="5.28515625" style="55" bestFit="1" customWidth="1"/>
    <col min="9735" max="9735" width="9" style="55" customWidth="1"/>
    <col min="9736" max="9984" width="9.140625" style="55"/>
    <col min="9985" max="9985" width="56.28515625" style="55" bestFit="1" customWidth="1"/>
    <col min="9986" max="9986" width="10" style="55" bestFit="1" customWidth="1"/>
    <col min="9987" max="9988" width="11.140625" style="55" bestFit="1" customWidth="1"/>
    <col min="9989" max="9989" width="4.7109375" style="55" bestFit="1" customWidth="1"/>
    <col min="9990" max="9990" width="5.28515625" style="55" bestFit="1" customWidth="1"/>
    <col min="9991" max="9991" width="9" style="55" customWidth="1"/>
    <col min="9992" max="10240" width="9.140625" style="55"/>
    <col min="10241" max="10241" width="56.28515625" style="55" bestFit="1" customWidth="1"/>
    <col min="10242" max="10242" width="10" style="55" bestFit="1" customWidth="1"/>
    <col min="10243" max="10244" width="11.140625" style="55" bestFit="1" customWidth="1"/>
    <col min="10245" max="10245" width="4.7109375" style="55" bestFit="1" customWidth="1"/>
    <col min="10246" max="10246" width="5.28515625" style="55" bestFit="1" customWidth="1"/>
    <col min="10247" max="10247" width="9" style="55" customWidth="1"/>
    <col min="10248" max="10496" width="9.140625" style="55"/>
    <col min="10497" max="10497" width="56.28515625" style="55" bestFit="1" customWidth="1"/>
    <col min="10498" max="10498" width="10" style="55" bestFit="1" customWidth="1"/>
    <col min="10499" max="10500" width="11.140625" style="55" bestFit="1" customWidth="1"/>
    <col min="10501" max="10501" width="4.7109375" style="55" bestFit="1" customWidth="1"/>
    <col min="10502" max="10502" width="5.28515625" style="55" bestFit="1" customWidth="1"/>
    <col min="10503" max="10503" width="9" style="55" customWidth="1"/>
    <col min="10504" max="10752" width="9.140625" style="55"/>
    <col min="10753" max="10753" width="56.28515625" style="55" bestFit="1" customWidth="1"/>
    <col min="10754" max="10754" width="10" style="55" bestFit="1" customWidth="1"/>
    <col min="10755" max="10756" width="11.140625" style="55" bestFit="1" customWidth="1"/>
    <col min="10757" max="10757" width="4.7109375" style="55" bestFit="1" customWidth="1"/>
    <col min="10758" max="10758" width="5.28515625" style="55" bestFit="1" customWidth="1"/>
    <col min="10759" max="10759" width="9" style="55" customWidth="1"/>
    <col min="10760" max="11008" width="9.140625" style="55"/>
    <col min="11009" max="11009" width="56.28515625" style="55" bestFit="1" customWidth="1"/>
    <col min="11010" max="11010" width="10" style="55" bestFit="1" customWidth="1"/>
    <col min="11011" max="11012" width="11.140625" style="55" bestFit="1" customWidth="1"/>
    <col min="11013" max="11013" width="4.7109375" style="55" bestFit="1" customWidth="1"/>
    <col min="11014" max="11014" width="5.28515625" style="55" bestFit="1" customWidth="1"/>
    <col min="11015" max="11015" width="9" style="55" customWidth="1"/>
    <col min="11016" max="11264" width="9.140625" style="55"/>
    <col min="11265" max="11265" width="56.28515625" style="55" bestFit="1" customWidth="1"/>
    <col min="11266" max="11266" width="10" style="55" bestFit="1" customWidth="1"/>
    <col min="11267" max="11268" width="11.140625" style="55" bestFit="1" customWidth="1"/>
    <col min="11269" max="11269" width="4.7109375" style="55" bestFit="1" customWidth="1"/>
    <col min="11270" max="11270" width="5.28515625" style="55" bestFit="1" customWidth="1"/>
    <col min="11271" max="11271" width="9" style="55" customWidth="1"/>
    <col min="11272" max="11520" width="9.140625" style="55"/>
    <col min="11521" max="11521" width="56.28515625" style="55" bestFit="1" customWidth="1"/>
    <col min="11522" max="11522" width="10" style="55" bestFit="1" customWidth="1"/>
    <col min="11523" max="11524" width="11.140625" style="55" bestFit="1" customWidth="1"/>
    <col min="11525" max="11525" width="4.7109375" style="55" bestFit="1" customWidth="1"/>
    <col min="11526" max="11526" width="5.28515625" style="55" bestFit="1" customWidth="1"/>
    <col min="11527" max="11527" width="9" style="55" customWidth="1"/>
    <col min="11528" max="11776" width="9.140625" style="55"/>
    <col min="11777" max="11777" width="56.28515625" style="55" bestFit="1" customWidth="1"/>
    <col min="11778" max="11778" width="10" style="55" bestFit="1" customWidth="1"/>
    <col min="11779" max="11780" width="11.140625" style="55" bestFit="1" customWidth="1"/>
    <col min="11781" max="11781" width="4.7109375" style="55" bestFit="1" customWidth="1"/>
    <col min="11782" max="11782" width="5.28515625" style="55" bestFit="1" customWidth="1"/>
    <col min="11783" max="11783" width="9" style="55" customWidth="1"/>
    <col min="11784" max="12032" width="9.140625" style="55"/>
    <col min="12033" max="12033" width="56.28515625" style="55" bestFit="1" customWidth="1"/>
    <col min="12034" max="12034" width="10" style="55" bestFit="1" customWidth="1"/>
    <col min="12035" max="12036" width="11.140625" style="55" bestFit="1" customWidth="1"/>
    <col min="12037" max="12037" width="4.7109375" style="55" bestFit="1" customWidth="1"/>
    <col min="12038" max="12038" width="5.28515625" style="55" bestFit="1" customWidth="1"/>
    <col min="12039" max="12039" width="9" style="55" customWidth="1"/>
    <col min="12040" max="12288" width="9.140625" style="55"/>
    <col min="12289" max="12289" width="56.28515625" style="55" bestFit="1" customWidth="1"/>
    <col min="12290" max="12290" width="10" style="55" bestFit="1" customWidth="1"/>
    <col min="12291" max="12292" width="11.140625" style="55" bestFit="1" customWidth="1"/>
    <col min="12293" max="12293" width="4.7109375" style="55" bestFit="1" customWidth="1"/>
    <col min="12294" max="12294" width="5.28515625" style="55" bestFit="1" customWidth="1"/>
    <col min="12295" max="12295" width="9" style="55" customWidth="1"/>
    <col min="12296" max="12544" width="9.140625" style="55"/>
    <col min="12545" max="12545" width="56.28515625" style="55" bestFit="1" customWidth="1"/>
    <col min="12546" max="12546" width="10" style="55" bestFit="1" customWidth="1"/>
    <col min="12547" max="12548" width="11.140625" style="55" bestFit="1" customWidth="1"/>
    <col min="12549" max="12549" width="4.7109375" style="55" bestFit="1" customWidth="1"/>
    <col min="12550" max="12550" width="5.28515625" style="55" bestFit="1" customWidth="1"/>
    <col min="12551" max="12551" width="9" style="55" customWidth="1"/>
    <col min="12552" max="12800" width="9.140625" style="55"/>
    <col min="12801" max="12801" width="56.28515625" style="55" bestFit="1" customWidth="1"/>
    <col min="12802" max="12802" width="10" style="55" bestFit="1" customWidth="1"/>
    <col min="12803" max="12804" width="11.140625" style="55" bestFit="1" customWidth="1"/>
    <col min="12805" max="12805" width="4.7109375" style="55" bestFit="1" customWidth="1"/>
    <col min="12806" max="12806" width="5.28515625" style="55" bestFit="1" customWidth="1"/>
    <col min="12807" max="12807" width="9" style="55" customWidth="1"/>
    <col min="12808" max="13056" width="9.140625" style="55"/>
    <col min="13057" max="13057" width="56.28515625" style="55" bestFit="1" customWidth="1"/>
    <col min="13058" max="13058" width="10" style="55" bestFit="1" customWidth="1"/>
    <col min="13059" max="13060" width="11.140625" style="55" bestFit="1" customWidth="1"/>
    <col min="13061" max="13061" width="4.7109375" style="55" bestFit="1" customWidth="1"/>
    <col min="13062" max="13062" width="5.28515625" style="55" bestFit="1" customWidth="1"/>
    <col min="13063" max="13063" width="9" style="55" customWidth="1"/>
    <col min="13064" max="13312" width="9.140625" style="55"/>
    <col min="13313" max="13313" width="56.28515625" style="55" bestFit="1" customWidth="1"/>
    <col min="13314" max="13314" width="10" style="55" bestFit="1" customWidth="1"/>
    <col min="13315" max="13316" width="11.140625" style="55" bestFit="1" customWidth="1"/>
    <col min="13317" max="13317" width="4.7109375" style="55" bestFit="1" customWidth="1"/>
    <col min="13318" max="13318" width="5.28515625" style="55" bestFit="1" customWidth="1"/>
    <col min="13319" max="13319" width="9" style="55" customWidth="1"/>
    <col min="13320" max="13568" width="9.140625" style="55"/>
    <col min="13569" max="13569" width="56.28515625" style="55" bestFit="1" customWidth="1"/>
    <col min="13570" max="13570" width="10" style="55" bestFit="1" customWidth="1"/>
    <col min="13571" max="13572" width="11.140625" style="55" bestFit="1" customWidth="1"/>
    <col min="13573" max="13573" width="4.7109375" style="55" bestFit="1" customWidth="1"/>
    <col min="13574" max="13574" width="5.28515625" style="55" bestFit="1" customWidth="1"/>
    <col min="13575" max="13575" width="9" style="55" customWidth="1"/>
    <col min="13576" max="13824" width="9.140625" style="55"/>
    <col min="13825" max="13825" width="56.28515625" style="55" bestFit="1" customWidth="1"/>
    <col min="13826" max="13826" width="10" style="55" bestFit="1" customWidth="1"/>
    <col min="13827" max="13828" width="11.140625" style="55" bestFit="1" customWidth="1"/>
    <col min="13829" max="13829" width="4.7109375" style="55" bestFit="1" customWidth="1"/>
    <col min="13830" max="13830" width="5.28515625" style="55" bestFit="1" customWidth="1"/>
    <col min="13831" max="13831" width="9" style="55" customWidth="1"/>
    <col min="13832" max="14080" width="9.140625" style="55"/>
    <col min="14081" max="14081" width="56.28515625" style="55" bestFit="1" customWidth="1"/>
    <col min="14082" max="14082" width="10" style="55" bestFit="1" customWidth="1"/>
    <col min="14083" max="14084" width="11.140625" style="55" bestFit="1" customWidth="1"/>
    <col min="14085" max="14085" width="4.7109375" style="55" bestFit="1" customWidth="1"/>
    <col min="14086" max="14086" width="5.28515625" style="55" bestFit="1" customWidth="1"/>
    <col min="14087" max="14087" width="9" style="55" customWidth="1"/>
    <col min="14088" max="14336" width="9.140625" style="55"/>
    <col min="14337" max="14337" width="56.28515625" style="55" bestFit="1" customWidth="1"/>
    <col min="14338" max="14338" width="10" style="55" bestFit="1" customWidth="1"/>
    <col min="14339" max="14340" width="11.140625" style="55" bestFit="1" customWidth="1"/>
    <col min="14341" max="14341" width="4.7109375" style="55" bestFit="1" customWidth="1"/>
    <col min="14342" max="14342" width="5.28515625" style="55" bestFit="1" customWidth="1"/>
    <col min="14343" max="14343" width="9" style="55" customWidth="1"/>
    <col min="14344" max="14592" width="9.140625" style="55"/>
    <col min="14593" max="14593" width="56.28515625" style="55" bestFit="1" customWidth="1"/>
    <col min="14594" max="14594" width="10" style="55" bestFit="1" customWidth="1"/>
    <col min="14595" max="14596" width="11.140625" style="55" bestFit="1" customWidth="1"/>
    <col min="14597" max="14597" width="4.7109375" style="55" bestFit="1" customWidth="1"/>
    <col min="14598" max="14598" width="5.28515625" style="55" bestFit="1" customWidth="1"/>
    <col min="14599" max="14599" width="9" style="55" customWidth="1"/>
    <col min="14600" max="14848" width="9.140625" style="55"/>
    <col min="14849" max="14849" width="56.28515625" style="55" bestFit="1" customWidth="1"/>
    <col min="14850" max="14850" width="10" style="55" bestFit="1" customWidth="1"/>
    <col min="14851" max="14852" width="11.140625" style="55" bestFit="1" customWidth="1"/>
    <col min="14853" max="14853" width="4.7109375" style="55" bestFit="1" customWidth="1"/>
    <col min="14854" max="14854" width="5.28515625" style="55" bestFit="1" customWidth="1"/>
    <col min="14855" max="14855" width="9" style="55" customWidth="1"/>
    <col min="14856" max="15104" width="9.140625" style="55"/>
    <col min="15105" max="15105" width="56.28515625" style="55" bestFit="1" customWidth="1"/>
    <col min="15106" max="15106" width="10" style="55" bestFit="1" customWidth="1"/>
    <col min="15107" max="15108" width="11.140625" style="55" bestFit="1" customWidth="1"/>
    <col min="15109" max="15109" width="4.7109375" style="55" bestFit="1" customWidth="1"/>
    <col min="15110" max="15110" width="5.28515625" style="55" bestFit="1" customWidth="1"/>
    <col min="15111" max="15111" width="9" style="55" customWidth="1"/>
    <col min="15112" max="15360" width="9.140625" style="55"/>
    <col min="15361" max="15361" width="56.28515625" style="55" bestFit="1" customWidth="1"/>
    <col min="15362" max="15362" width="10" style="55" bestFit="1" customWidth="1"/>
    <col min="15363" max="15364" width="11.140625" style="55" bestFit="1" customWidth="1"/>
    <col min="15365" max="15365" width="4.7109375" style="55" bestFit="1" customWidth="1"/>
    <col min="15366" max="15366" width="5.28515625" style="55" bestFit="1" customWidth="1"/>
    <col min="15367" max="15367" width="9" style="55" customWidth="1"/>
    <col min="15368" max="15616" width="9.140625" style="55"/>
    <col min="15617" max="15617" width="56.28515625" style="55" bestFit="1" customWidth="1"/>
    <col min="15618" max="15618" width="10" style="55" bestFit="1" customWidth="1"/>
    <col min="15619" max="15620" width="11.140625" style="55" bestFit="1" customWidth="1"/>
    <col min="15621" max="15621" width="4.7109375" style="55" bestFit="1" customWidth="1"/>
    <col min="15622" max="15622" width="5.28515625" style="55" bestFit="1" customWidth="1"/>
    <col min="15623" max="15623" width="9" style="55" customWidth="1"/>
    <col min="15624" max="15872" width="9.140625" style="55"/>
    <col min="15873" max="15873" width="56.28515625" style="55" bestFit="1" customWidth="1"/>
    <col min="15874" max="15874" width="10" style="55" bestFit="1" customWidth="1"/>
    <col min="15875" max="15876" width="11.140625" style="55" bestFit="1" customWidth="1"/>
    <col min="15877" max="15877" width="4.7109375" style="55" bestFit="1" customWidth="1"/>
    <col min="15878" max="15878" width="5.28515625" style="55" bestFit="1" customWidth="1"/>
    <col min="15879" max="15879" width="9" style="55" customWidth="1"/>
    <col min="15880" max="16128" width="9.140625" style="55"/>
    <col min="16129" max="16129" width="56.28515625" style="55" bestFit="1" customWidth="1"/>
    <col min="16130" max="16130" width="10" style="55" bestFit="1" customWidth="1"/>
    <col min="16131" max="16132" width="11.140625" style="55" bestFit="1" customWidth="1"/>
    <col min="16133" max="16133" width="4.7109375" style="55" bestFit="1" customWidth="1"/>
    <col min="16134" max="16134" width="5.28515625" style="55" bestFit="1" customWidth="1"/>
    <col min="16135" max="16135" width="9" style="55" customWidth="1"/>
    <col min="16136" max="16384" width="9.140625" style="55"/>
  </cols>
  <sheetData>
    <row r="1" spans="1:7" x14ac:dyDescent="0.2">
      <c r="A1" s="54" t="s">
        <v>62</v>
      </c>
      <c r="B1" s="54"/>
    </row>
    <row r="2" spans="1:7" x14ac:dyDescent="0.2">
      <c r="A2" s="57"/>
      <c r="B2" s="58"/>
      <c r="C2" s="58"/>
      <c r="D2" s="58"/>
      <c r="E2" s="58"/>
    </row>
    <row r="3" spans="1:7" x14ac:dyDescent="0.2">
      <c r="A3" s="55" t="s">
        <v>54</v>
      </c>
      <c r="B3" s="60" t="s">
        <v>63</v>
      </c>
      <c r="C3" s="58"/>
      <c r="D3" s="58"/>
      <c r="E3" s="58"/>
    </row>
    <row r="4" spans="1:7" x14ac:dyDescent="0.2">
      <c r="A4" s="57"/>
      <c r="B4" s="58"/>
      <c r="C4" s="58"/>
      <c r="D4" s="58"/>
      <c r="E4" s="58"/>
    </row>
    <row r="5" spans="1:7" ht="13.5" thickBot="1" x14ac:dyDescent="0.25">
      <c r="A5" s="61" t="s">
        <v>2</v>
      </c>
      <c r="B5" s="62" t="s">
        <v>3</v>
      </c>
      <c r="C5" s="61" t="s">
        <v>4</v>
      </c>
      <c r="D5" s="61" t="s">
        <v>5</v>
      </c>
      <c r="E5" s="61" t="s">
        <v>6</v>
      </c>
      <c r="F5" s="61" t="s">
        <v>7</v>
      </c>
    </row>
    <row r="6" spans="1:7" ht="25.5" customHeight="1" x14ac:dyDescent="0.2">
      <c r="A6" s="64" t="s">
        <v>64</v>
      </c>
      <c r="B6" s="60">
        <v>7</v>
      </c>
      <c r="C6" s="65" t="s">
        <v>23</v>
      </c>
      <c r="D6" s="67">
        <f>B6</f>
        <v>7</v>
      </c>
      <c r="E6" s="66">
        <f>C9</f>
        <v>0</v>
      </c>
      <c r="F6" s="66">
        <f>0.99*C10</f>
        <v>19.8</v>
      </c>
      <c r="G6" s="83"/>
    </row>
    <row r="7" spans="1:7" ht="25.5" customHeight="1" x14ac:dyDescent="0.2">
      <c r="A7" s="64" t="s">
        <v>65</v>
      </c>
      <c r="B7" s="60">
        <v>3</v>
      </c>
      <c r="C7" s="65" t="s">
        <v>23</v>
      </c>
      <c r="D7" s="68">
        <f>B7</f>
        <v>3</v>
      </c>
      <c r="E7" s="60">
        <v>-5</v>
      </c>
      <c r="F7" s="60">
        <v>3</v>
      </c>
      <c r="G7" s="83"/>
    </row>
    <row r="9" spans="1:7" x14ac:dyDescent="0.2">
      <c r="A9" s="69" t="s">
        <v>50</v>
      </c>
      <c r="B9" s="69" t="s">
        <v>6</v>
      </c>
      <c r="C9" s="70">
        <v>0</v>
      </c>
      <c r="D9" s="65"/>
      <c r="E9" s="71"/>
    </row>
    <row r="10" spans="1:7" x14ac:dyDescent="0.2">
      <c r="A10" s="72"/>
      <c r="B10" s="69" t="s">
        <v>7</v>
      </c>
      <c r="C10" s="70">
        <v>20</v>
      </c>
      <c r="D10" s="65"/>
      <c r="E10" s="71"/>
    </row>
    <row r="11" spans="1:7" x14ac:dyDescent="0.2">
      <c r="A11" s="73"/>
      <c r="B11" s="74" t="s">
        <v>47</v>
      </c>
      <c r="C11" s="70">
        <v>1</v>
      </c>
      <c r="E11" s="75"/>
    </row>
    <row r="12" spans="1:7" x14ac:dyDescent="0.2">
      <c r="A12" s="73"/>
      <c r="B12" s="74" t="s">
        <v>42</v>
      </c>
      <c r="C12" s="76">
        <f>IF(B3="A",0,IF(B3="L",0.5,"WRONG: use L or A in cell B3"))</f>
        <v>0</v>
      </c>
      <c r="E12" s="75"/>
    </row>
    <row r="13" spans="1:7" x14ac:dyDescent="0.2">
      <c r="A13" s="73"/>
      <c r="B13" s="74"/>
      <c r="C13" s="77" t="s">
        <v>30</v>
      </c>
      <c r="E13" s="75"/>
    </row>
    <row r="14" spans="1:7" x14ac:dyDescent="0.2">
      <c r="C14" s="78">
        <f>MAX(C17:C141)</f>
        <v>0.99999712436906474</v>
      </c>
    </row>
    <row r="15" spans="1:7" x14ac:dyDescent="0.2">
      <c r="C15" s="78"/>
    </row>
    <row r="16" spans="1:7" x14ac:dyDescent="0.2">
      <c r="A16" s="79" t="s">
        <v>39</v>
      </c>
      <c r="B16" s="79" t="s">
        <v>40</v>
      </c>
      <c r="C16" s="79" t="s">
        <v>38</v>
      </c>
      <c r="E16" s="79"/>
      <c r="F16" s="79"/>
      <c r="G16" s="79"/>
    </row>
    <row r="17" spans="1:7" x14ac:dyDescent="0.2">
      <c r="A17" s="55">
        <f>C9</f>
        <v>0</v>
      </c>
      <c r="B17" s="55">
        <f t="shared" ref="B17:B80" si="0">A17+$C$11*$C$12</f>
        <v>0</v>
      </c>
      <c r="C17" s="80">
        <f>1/(1+EXP(-LN(19)*(B17-$D$6)/$D$7))</f>
        <v>1.0370292068795897E-3</v>
      </c>
      <c r="E17" s="81"/>
      <c r="F17" s="82"/>
      <c r="G17" s="81"/>
    </row>
    <row r="18" spans="1:7" x14ac:dyDescent="0.2">
      <c r="A18" s="55">
        <f t="shared" ref="A18:A81" si="1">IF(A17&lt;$C$10-$C$11,A17+$C$11,$C$10)</f>
        <v>1</v>
      </c>
      <c r="B18" s="55">
        <f t="shared" si="0"/>
        <v>1</v>
      </c>
      <c r="C18" s="80">
        <f t="shared" ref="C18:C81" si="2">1/(1+EXP(-LN(19)*(B18-$D$6)/$D$7))</f>
        <v>2.7624309392265205E-3</v>
      </c>
      <c r="D18" s="81"/>
      <c r="E18" s="81"/>
      <c r="F18" s="82"/>
      <c r="G18" s="81"/>
    </row>
    <row r="19" spans="1:7" x14ac:dyDescent="0.2">
      <c r="A19" s="55">
        <f t="shared" si="1"/>
        <v>2</v>
      </c>
      <c r="B19" s="55">
        <f t="shared" si="0"/>
        <v>2</v>
      </c>
      <c r="C19" s="80">
        <f t="shared" si="2"/>
        <v>7.3374580706613958E-3</v>
      </c>
      <c r="D19" s="81"/>
      <c r="E19" s="81"/>
      <c r="F19" s="82"/>
      <c r="G19" s="81"/>
    </row>
    <row r="20" spans="1:7" x14ac:dyDescent="0.2">
      <c r="A20" s="55">
        <f t="shared" si="1"/>
        <v>3</v>
      </c>
      <c r="B20" s="55">
        <f t="shared" si="0"/>
        <v>3</v>
      </c>
      <c r="C20" s="80">
        <f t="shared" si="2"/>
        <v>1.9342497699835048E-2</v>
      </c>
      <c r="D20" s="81"/>
      <c r="E20" s="81"/>
      <c r="F20" s="82"/>
      <c r="G20" s="81"/>
    </row>
    <row r="21" spans="1:7" x14ac:dyDescent="0.2">
      <c r="A21" s="55">
        <f t="shared" si="1"/>
        <v>4</v>
      </c>
      <c r="B21" s="55">
        <f t="shared" si="0"/>
        <v>4</v>
      </c>
      <c r="C21" s="80">
        <f t="shared" si="2"/>
        <v>5.000000000000001E-2</v>
      </c>
      <c r="D21" s="81"/>
      <c r="E21" s="81"/>
      <c r="F21" s="82"/>
      <c r="G21" s="81"/>
    </row>
    <row r="22" spans="1:7" x14ac:dyDescent="0.2">
      <c r="A22" s="55">
        <f t="shared" si="1"/>
        <v>5</v>
      </c>
      <c r="B22" s="55">
        <f t="shared" si="0"/>
        <v>5</v>
      </c>
      <c r="C22" s="80">
        <f t="shared" si="2"/>
        <v>0.12314713802987556</v>
      </c>
      <c r="D22" s="81"/>
      <c r="E22" s="81"/>
      <c r="F22" s="82"/>
      <c r="G22" s="81"/>
    </row>
    <row r="23" spans="1:7" x14ac:dyDescent="0.2">
      <c r="A23" s="55">
        <f t="shared" si="1"/>
        <v>6</v>
      </c>
      <c r="B23" s="55">
        <f t="shared" si="0"/>
        <v>6</v>
      </c>
      <c r="C23" s="80">
        <f t="shared" si="2"/>
        <v>0.27259828550900245</v>
      </c>
      <c r="D23" s="81"/>
      <c r="E23" s="81"/>
      <c r="F23" s="82"/>
      <c r="G23" s="81"/>
    </row>
    <row r="24" spans="1:7" x14ac:dyDescent="0.2">
      <c r="A24" s="55">
        <f t="shared" si="1"/>
        <v>7</v>
      </c>
      <c r="B24" s="55">
        <f t="shared" si="0"/>
        <v>7</v>
      </c>
      <c r="C24" s="80">
        <f t="shared" si="2"/>
        <v>0.5</v>
      </c>
      <c r="D24" s="81"/>
      <c r="E24" s="81"/>
      <c r="F24" s="82"/>
      <c r="G24" s="81"/>
    </row>
    <row r="25" spans="1:7" x14ac:dyDescent="0.2">
      <c r="A25" s="55">
        <f t="shared" si="1"/>
        <v>8</v>
      </c>
      <c r="B25" s="55">
        <f t="shared" si="0"/>
        <v>8</v>
      </c>
      <c r="C25" s="80">
        <f t="shared" si="2"/>
        <v>0.72740171449099755</v>
      </c>
      <c r="D25" s="81"/>
      <c r="E25" s="81"/>
      <c r="F25" s="82"/>
      <c r="G25" s="81"/>
    </row>
    <row r="26" spans="1:7" x14ac:dyDescent="0.2">
      <c r="A26" s="55">
        <f t="shared" si="1"/>
        <v>9</v>
      </c>
      <c r="B26" s="55">
        <f t="shared" si="0"/>
        <v>9</v>
      </c>
      <c r="C26" s="80">
        <f t="shared" si="2"/>
        <v>0.87685286197012446</v>
      </c>
      <c r="D26" s="81"/>
      <c r="E26" s="81"/>
      <c r="F26" s="82"/>
      <c r="G26" s="81"/>
    </row>
    <row r="27" spans="1:7" x14ac:dyDescent="0.2">
      <c r="A27" s="55">
        <f t="shared" si="1"/>
        <v>10</v>
      </c>
      <c r="B27" s="55">
        <f t="shared" si="0"/>
        <v>10</v>
      </c>
      <c r="C27" s="80">
        <f t="shared" si="2"/>
        <v>0.95000000000000007</v>
      </c>
      <c r="D27" s="81"/>
      <c r="E27" s="81"/>
      <c r="F27" s="82"/>
      <c r="G27" s="81"/>
    </row>
    <row r="28" spans="1:7" x14ac:dyDescent="0.2">
      <c r="A28" s="55">
        <f t="shared" si="1"/>
        <v>11</v>
      </c>
      <c r="B28" s="55">
        <f t="shared" si="0"/>
        <v>11</v>
      </c>
      <c r="C28" s="80">
        <f t="shared" si="2"/>
        <v>0.98065750230016491</v>
      </c>
      <c r="D28" s="81"/>
      <c r="E28" s="81"/>
      <c r="F28" s="82"/>
      <c r="G28" s="81"/>
    </row>
    <row r="29" spans="1:7" x14ac:dyDescent="0.2">
      <c r="A29" s="55">
        <f t="shared" si="1"/>
        <v>12</v>
      </c>
      <c r="B29" s="55">
        <f t="shared" si="0"/>
        <v>12</v>
      </c>
      <c r="C29" s="80">
        <f t="shared" si="2"/>
        <v>0.99266254192933856</v>
      </c>
      <c r="D29" s="81"/>
      <c r="E29" s="81"/>
      <c r="F29" s="82"/>
      <c r="G29" s="81"/>
    </row>
    <row r="30" spans="1:7" x14ac:dyDescent="0.2">
      <c r="A30" s="55">
        <f t="shared" si="1"/>
        <v>13</v>
      </c>
      <c r="B30" s="55">
        <f t="shared" si="0"/>
        <v>13</v>
      </c>
      <c r="C30" s="80">
        <f t="shared" si="2"/>
        <v>0.99723756906077354</v>
      </c>
      <c r="D30" s="81"/>
      <c r="E30" s="81"/>
      <c r="F30" s="82"/>
      <c r="G30" s="81"/>
    </row>
    <row r="31" spans="1:7" x14ac:dyDescent="0.2">
      <c r="A31" s="55">
        <f t="shared" si="1"/>
        <v>14</v>
      </c>
      <c r="B31" s="55">
        <f t="shared" si="0"/>
        <v>14</v>
      </c>
      <c r="C31" s="80">
        <f t="shared" si="2"/>
        <v>0.99896297079312035</v>
      </c>
      <c r="D31" s="81"/>
      <c r="E31" s="81"/>
      <c r="F31" s="82"/>
      <c r="G31" s="81"/>
    </row>
    <row r="32" spans="1:7" x14ac:dyDescent="0.2">
      <c r="A32" s="55">
        <f t="shared" si="1"/>
        <v>15</v>
      </c>
      <c r="B32" s="55">
        <f t="shared" si="0"/>
        <v>15</v>
      </c>
      <c r="C32" s="80">
        <f t="shared" si="2"/>
        <v>0.99961111474753284</v>
      </c>
      <c r="D32" s="81"/>
      <c r="E32" s="81"/>
      <c r="F32" s="82"/>
      <c r="G32" s="81"/>
    </row>
    <row r="33" spans="1:7" x14ac:dyDescent="0.2">
      <c r="A33" s="55">
        <f t="shared" si="1"/>
        <v>16</v>
      </c>
      <c r="B33" s="55">
        <f t="shared" si="0"/>
        <v>16</v>
      </c>
      <c r="C33" s="80">
        <f t="shared" si="2"/>
        <v>0.99985422740524788</v>
      </c>
      <c r="D33" s="81"/>
      <c r="E33" s="81"/>
      <c r="F33" s="82"/>
      <c r="G33" s="81"/>
    </row>
    <row r="34" spans="1:7" x14ac:dyDescent="0.2">
      <c r="A34" s="55">
        <f t="shared" si="1"/>
        <v>17</v>
      </c>
      <c r="B34" s="55">
        <f t="shared" si="0"/>
        <v>17</v>
      </c>
      <c r="C34" s="80">
        <f t="shared" si="2"/>
        <v>0.9999453658401668</v>
      </c>
      <c r="D34" s="81"/>
      <c r="E34" s="81"/>
      <c r="F34" s="82"/>
      <c r="G34" s="81"/>
    </row>
    <row r="35" spans="1:7" x14ac:dyDescent="0.2">
      <c r="A35" s="55">
        <f t="shared" si="1"/>
        <v>18</v>
      </c>
      <c r="B35" s="55">
        <f t="shared" si="0"/>
        <v>18</v>
      </c>
      <c r="C35" s="80">
        <f t="shared" si="2"/>
        <v>0.99997952481171337</v>
      </c>
      <c r="D35" s="81"/>
      <c r="E35" s="81"/>
      <c r="F35" s="82"/>
      <c r="G35" s="81"/>
    </row>
    <row r="36" spans="1:7" x14ac:dyDescent="0.2">
      <c r="A36" s="55">
        <f t="shared" si="1"/>
        <v>19</v>
      </c>
      <c r="B36" s="55">
        <f t="shared" si="0"/>
        <v>19</v>
      </c>
      <c r="C36" s="80">
        <f t="shared" si="2"/>
        <v>0.99999232669848537</v>
      </c>
      <c r="D36" s="81"/>
      <c r="E36" s="81"/>
      <c r="F36" s="82"/>
      <c r="G36" s="81"/>
    </row>
    <row r="37" spans="1:7" x14ac:dyDescent="0.2">
      <c r="A37" s="55">
        <f t="shared" si="1"/>
        <v>20</v>
      </c>
      <c r="B37" s="55">
        <f t="shared" si="0"/>
        <v>20</v>
      </c>
      <c r="C37" s="80">
        <f t="shared" si="2"/>
        <v>0.99999712436906474</v>
      </c>
      <c r="D37" s="81"/>
      <c r="E37" s="81"/>
      <c r="F37" s="82"/>
      <c r="G37" s="81"/>
    </row>
    <row r="38" spans="1:7" x14ac:dyDescent="0.2">
      <c r="A38" s="55">
        <f t="shared" si="1"/>
        <v>20</v>
      </c>
      <c r="B38" s="55">
        <f t="shared" si="0"/>
        <v>20</v>
      </c>
      <c r="C38" s="80">
        <f t="shared" si="2"/>
        <v>0.99999712436906474</v>
      </c>
      <c r="D38" s="81"/>
      <c r="E38" s="81"/>
      <c r="F38" s="82"/>
      <c r="G38" s="81"/>
    </row>
    <row r="39" spans="1:7" x14ac:dyDescent="0.2">
      <c r="A39" s="55">
        <f t="shared" si="1"/>
        <v>20</v>
      </c>
      <c r="B39" s="55">
        <f t="shared" si="0"/>
        <v>20</v>
      </c>
      <c r="C39" s="80">
        <f t="shared" si="2"/>
        <v>0.99999712436906474</v>
      </c>
      <c r="D39" s="81"/>
      <c r="E39" s="81"/>
      <c r="F39" s="82"/>
      <c r="G39" s="81"/>
    </row>
    <row r="40" spans="1:7" x14ac:dyDescent="0.2">
      <c r="A40" s="55">
        <f t="shared" si="1"/>
        <v>20</v>
      </c>
      <c r="B40" s="55">
        <f t="shared" si="0"/>
        <v>20</v>
      </c>
      <c r="C40" s="80">
        <f t="shared" si="2"/>
        <v>0.99999712436906474</v>
      </c>
      <c r="D40" s="81"/>
      <c r="E40" s="81"/>
      <c r="F40" s="82"/>
      <c r="G40" s="81"/>
    </row>
    <row r="41" spans="1:7" x14ac:dyDescent="0.2">
      <c r="A41" s="55">
        <f t="shared" si="1"/>
        <v>20</v>
      </c>
      <c r="B41" s="55">
        <f t="shared" si="0"/>
        <v>20</v>
      </c>
      <c r="C41" s="80">
        <f t="shared" si="2"/>
        <v>0.99999712436906474</v>
      </c>
      <c r="D41" s="81"/>
      <c r="E41" s="81"/>
      <c r="F41" s="82"/>
      <c r="G41" s="81"/>
    </row>
    <row r="42" spans="1:7" x14ac:dyDescent="0.2">
      <c r="A42" s="55">
        <f t="shared" si="1"/>
        <v>20</v>
      </c>
      <c r="B42" s="55">
        <f t="shared" si="0"/>
        <v>20</v>
      </c>
      <c r="C42" s="80">
        <f t="shared" si="2"/>
        <v>0.99999712436906474</v>
      </c>
      <c r="D42" s="81"/>
      <c r="E42" s="81"/>
      <c r="F42" s="82"/>
      <c r="G42" s="81"/>
    </row>
    <row r="43" spans="1:7" x14ac:dyDescent="0.2">
      <c r="A43" s="55">
        <f t="shared" si="1"/>
        <v>20</v>
      </c>
      <c r="B43" s="55">
        <f t="shared" si="0"/>
        <v>20</v>
      </c>
      <c r="C43" s="80">
        <f t="shared" si="2"/>
        <v>0.99999712436906474</v>
      </c>
      <c r="D43" s="81"/>
      <c r="E43" s="81"/>
      <c r="F43" s="82"/>
      <c r="G43" s="81"/>
    </row>
    <row r="44" spans="1:7" x14ac:dyDescent="0.2">
      <c r="A44" s="55">
        <f t="shared" si="1"/>
        <v>20</v>
      </c>
      <c r="B44" s="55">
        <f t="shared" si="0"/>
        <v>20</v>
      </c>
      <c r="C44" s="80">
        <f t="shared" si="2"/>
        <v>0.99999712436906474</v>
      </c>
      <c r="D44" s="81"/>
      <c r="E44" s="81"/>
      <c r="F44" s="82"/>
      <c r="G44" s="81"/>
    </row>
    <row r="45" spans="1:7" x14ac:dyDescent="0.2">
      <c r="A45" s="55">
        <f t="shared" si="1"/>
        <v>20</v>
      </c>
      <c r="B45" s="55">
        <f t="shared" si="0"/>
        <v>20</v>
      </c>
      <c r="C45" s="80">
        <f t="shared" si="2"/>
        <v>0.99999712436906474</v>
      </c>
      <c r="D45" s="81"/>
      <c r="E45" s="81"/>
      <c r="F45" s="82"/>
      <c r="G45" s="81"/>
    </row>
    <row r="46" spans="1:7" x14ac:dyDescent="0.2">
      <c r="A46" s="55">
        <f t="shared" si="1"/>
        <v>20</v>
      </c>
      <c r="B46" s="55">
        <f t="shared" si="0"/>
        <v>20</v>
      </c>
      <c r="C46" s="80">
        <f t="shared" si="2"/>
        <v>0.99999712436906474</v>
      </c>
      <c r="D46" s="81"/>
      <c r="E46" s="81"/>
      <c r="F46" s="82"/>
      <c r="G46" s="81"/>
    </row>
    <row r="47" spans="1:7" x14ac:dyDescent="0.2">
      <c r="A47" s="55">
        <f t="shared" si="1"/>
        <v>20</v>
      </c>
      <c r="B47" s="55">
        <f t="shared" si="0"/>
        <v>20</v>
      </c>
      <c r="C47" s="80">
        <f t="shared" si="2"/>
        <v>0.99999712436906474</v>
      </c>
      <c r="D47" s="81"/>
      <c r="E47" s="81"/>
      <c r="F47" s="82"/>
      <c r="G47" s="81"/>
    </row>
    <row r="48" spans="1:7" x14ac:dyDescent="0.2">
      <c r="A48" s="55">
        <f t="shared" si="1"/>
        <v>20</v>
      </c>
      <c r="B48" s="55">
        <f t="shared" si="0"/>
        <v>20</v>
      </c>
      <c r="C48" s="80">
        <f t="shared" si="2"/>
        <v>0.99999712436906474</v>
      </c>
      <c r="D48" s="81"/>
      <c r="E48" s="81"/>
      <c r="F48" s="82"/>
      <c r="G48" s="81"/>
    </row>
    <row r="49" spans="1:7" x14ac:dyDescent="0.2">
      <c r="A49" s="55">
        <f t="shared" si="1"/>
        <v>20</v>
      </c>
      <c r="B49" s="55">
        <f t="shared" si="0"/>
        <v>20</v>
      </c>
      <c r="C49" s="80">
        <f t="shared" si="2"/>
        <v>0.99999712436906474</v>
      </c>
      <c r="D49" s="81"/>
      <c r="E49" s="81"/>
      <c r="F49" s="82"/>
      <c r="G49" s="81"/>
    </row>
    <row r="50" spans="1:7" x14ac:dyDescent="0.2">
      <c r="A50" s="55">
        <f t="shared" si="1"/>
        <v>20</v>
      </c>
      <c r="B50" s="55">
        <f t="shared" si="0"/>
        <v>20</v>
      </c>
      <c r="C50" s="80">
        <f t="shared" si="2"/>
        <v>0.99999712436906474</v>
      </c>
      <c r="D50" s="81"/>
      <c r="E50" s="81"/>
      <c r="F50" s="82"/>
      <c r="G50" s="81"/>
    </row>
    <row r="51" spans="1:7" x14ac:dyDescent="0.2">
      <c r="A51" s="55">
        <f t="shared" si="1"/>
        <v>20</v>
      </c>
      <c r="B51" s="55">
        <f t="shared" si="0"/>
        <v>20</v>
      </c>
      <c r="C51" s="80">
        <f t="shared" si="2"/>
        <v>0.99999712436906474</v>
      </c>
      <c r="D51" s="81"/>
      <c r="E51" s="81"/>
      <c r="F51" s="82"/>
      <c r="G51" s="81"/>
    </row>
    <row r="52" spans="1:7" x14ac:dyDescent="0.2">
      <c r="A52" s="55">
        <f t="shared" si="1"/>
        <v>20</v>
      </c>
      <c r="B52" s="55">
        <f t="shared" si="0"/>
        <v>20</v>
      </c>
      <c r="C52" s="80">
        <f t="shared" si="2"/>
        <v>0.99999712436906474</v>
      </c>
      <c r="D52" s="81"/>
      <c r="E52" s="81"/>
      <c r="F52" s="82"/>
      <c r="G52" s="81"/>
    </row>
    <row r="53" spans="1:7" x14ac:dyDescent="0.2">
      <c r="A53" s="55">
        <f t="shared" si="1"/>
        <v>20</v>
      </c>
      <c r="B53" s="55">
        <f t="shared" si="0"/>
        <v>20</v>
      </c>
      <c r="C53" s="80">
        <f t="shared" si="2"/>
        <v>0.99999712436906474</v>
      </c>
      <c r="D53" s="81"/>
      <c r="E53" s="81"/>
      <c r="F53" s="82"/>
      <c r="G53" s="81"/>
    </row>
    <row r="54" spans="1:7" x14ac:dyDescent="0.2">
      <c r="A54" s="55">
        <f t="shared" si="1"/>
        <v>20</v>
      </c>
      <c r="B54" s="55">
        <f t="shared" si="0"/>
        <v>20</v>
      </c>
      <c r="C54" s="80">
        <f t="shared" si="2"/>
        <v>0.99999712436906474</v>
      </c>
      <c r="D54" s="81"/>
      <c r="E54" s="81"/>
      <c r="F54" s="82"/>
      <c r="G54" s="81"/>
    </row>
    <row r="55" spans="1:7" x14ac:dyDescent="0.2">
      <c r="A55" s="55">
        <f t="shared" si="1"/>
        <v>20</v>
      </c>
      <c r="B55" s="55">
        <f t="shared" si="0"/>
        <v>20</v>
      </c>
      <c r="C55" s="80">
        <f t="shared" si="2"/>
        <v>0.99999712436906474</v>
      </c>
      <c r="D55" s="81"/>
      <c r="E55" s="81"/>
      <c r="F55" s="82"/>
      <c r="G55" s="81"/>
    </row>
    <row r="56" spans="1:7" x14ac:dyDescent="0.2">
      <c r="A56" s="55">
        <f t="shared" si="1"/>
        <v>20</v>
      </c>
      <c r="B56" s="55">
        <f t="shared" si="0"/>
        <v>20</v>
      </c>
      <c r="C56" s="80">
        <f t="shared" si="2"/>
        <v>0.99999712436906474</v>
      </c>
      <c r="D56" s="81"/>
      <c r="E56" s="81"/>
      <c r="F56" s="82"/>
      <c r="G56" s="81"/>
    </row>
    <row r="57" spans="1:7" x14ac:dyDescent="0.2">
      <c r="A57" s="55">
        <f t="shared" si="1"/>
        <v>20</v>
      </c>
      <c r="B57" s="55">
        <f t="shared" si="0"/>
        <v>20</v>
      </c>
      <c r="C57" s="80">
        <f t="shared" si="2"/>
        <v>0.99999712436906474</v>
      </c>
      <c r="D57" s="81"/>
      <c r="E57" s="81"/>
      <c r="F57" s="82"/>
      <c r="G57" s="81"/>
    </row>
    <row r="58" spans="1:7" x14ac:dyDescent="0.2">
      <c r="A58" s="55">
        <f t="shared" si="1"/>
        <v>20</v>
      </c>
      <c r="B58" s="55">
        <f t="shared" si="0"/>
        <v>20</v>
      </c>
      <c r="C58" s="80">
        <f t="shared" si="2"/>
        <v>0.99999712436906474</v>
      </c>
      <c r="D58" s="81"/>
      <c r="E58" s="81"/>
      <c r="F58" s="82"/>
      <c r="G58" s="81"/>
    </row>
    <row r="59" spans="1:7" x14ac:dyDescent="0.2">
      <c r="A59" s="55">
        <f t="shared" si="1"/>
        <v>20</v>
      </c>
      <c r="B59" s="55">
        <f t="shared" si="0"/>
        <v>20</v>
      </c>
      <c r="C59" s="80">
        <f t="shared" si="2"/>
        <v>0.99999712436906474</v>
      </c>
      <c r="D59" s="81"/>
      <c r="E59" s="81"/>
      <c r="F59" s="82"/>
      <c r="G59" s="81"/>
    </row>
    <row r="60" spans="1:7" x14ac:dyDescent="0.2">
      <c r="A60" s="55">
        <f t="shared" si="1"/>
        <v>20</v>
      </c>
      <c r="B60" s="55">
        <f t="shared" si="0"/>
        <v>20</v>
      </c>
      <c r="C60" s="80">
        <f t="shared" si="2"/>
        <v>0.99999712436906474</v>
      </c>
      <c r="D60" s="81"/>
      <c r="E60" s="81"/>
      <c r="F60" s="82"/>
      <c r="G60" s="81"/>
    </row>
    <row r="61" spans="1:7" x14ac:dyDescent="0.2">
      <c r="A61" s="55">
        <f t="shared" si="1"/>
        <v>20</v>
      </c>
      <c r="B61" s="55">
        <f t="shared" si="0"/>
        <v>20</v>
      </c>
      <c r="C61" s="80">
        <f t="shared" si="2"/>
        <v>0.99999712436906474</v>
      </c>
      <c r="D61" s="81"/>
      <c r="E61" s="81"/>
      <c r="F61" s="82"/>
      <c r="G61" s="81"/>
    </row>
    <row r="62" spans="1:7" x14ac:dyDescent="0.2">
      <c r="A62" s="55">
        <f t="shared" si="1"/>
        <v>20</v>
      </c>
      <c r="B62" s="55">
        <f t="shared" si="0"/>
        <v>20</v>
      </c>
      <c r="C62" s="80">
        <f t="shared" si="2"/>
        <v>0.99999712436906474</v>
      </c>
      <c r="D62" s="81"/>
      <c r="E62" s="81"/>
      <c r="F62" s="82"/>
      <c r="G62" s="81"/>
    </row>
    <row r="63" spans="1:7" x14ac:dyDescent="0.2">
      <c r="A63" s="55">
        <f t="shared" si="1"/>
        <v>20</v>
      </c>
      <c r="B63" s="55">
        <f t="shared" si="0"/>
        <v>20</v>
      </c>
      <c r="C63" s="80">
        <f t="shared" si="2"/>
        <v>0.99999712436906474</v>
      </c>
      <c r="D63" s="81"/>
      <c r="E63" s="81"/>
      <c r="F63" s="82"/>
      <c r="G63" s="81"/>
    </row>
    <row r="64" spans="1:7" x14ac:dyDescent="0.2">
      <c r="A64" s="55">
        <f t="shared" si="1"/>
        <v>20</v>
      </c>
      <c r="B64" s="55">
        <f t="shared" si="0"/>
        <v>20</v>
      </c>
      <c r="C64" s="80">
        <f t="shared" si="2"/>
        <v>0.99999712436906474</v>
      </c>
      <c r="D64" s="81"/>
      <c r="E64" s="81"/>
      <c r="F64" s="82"/>
      <c r="G64" s="81"/>
    </row>
    <row r="65" spans="1:7" x14ac:dyDescent="0.2">
      <c r="A65" s="55">
        <f t="shared" si="1"/>
        <v>20</v>
      </c>
      <c r="B65" s="55">
        <f t="shared" si="0"/>
        <v>20</v>
      </c>
      <c r="C65" s="80">
        <f t="shared" si="2"/>
        <v>0.99999712436906474</v>
      </c>
      <c r="D65" s="81"/>
      <c r="E65" s="81"/>
      <c r="F65" s="82"/>
      <c r="G65" s="81"/>
    </row>
    <row r="66" spans="1:7" x14ac:dyDescent="0.2">
      <c r="A66" s="55">
        <f t="shared" si="1"/>
        <v>20</v>
      </c>
      <c r="B66" s="55">
        <f t="shared" si="0"/>
        <v>20</v>
      </c>
      <c r="C66" s="80">
        <f t="shared" si="2"/>
        <v>0.99999712436906474</v>
      </c>
      <c r="D66" s="81"/>
      <c r="E66" s="81"/>
      <c r="F66" s="82"/>
      <c r="G66" s="81"/>
    </row>
    <row r="67" spans="1:7" x14ac:dyDescent="0.2">
      <c r="A67" s="55">
        <f t="shared" si="1"/>
        <v>20</v>
      </c>
      <c r="B67" s="55">
        <f t="shared" si="0"/>
        <v>20</v>
      </c>
      <c r="C67" s="80">
        <f t="shared" si="2"/>
        <v>0.99999712436906474</v>
      </c>
      <c r="D67" s="81"/>
      <c r="E67" s="81"/>
      <c r="F67" s="82"/>
      <c r="G67" s="81"/>
    </row>
    <row r="68" spans="1:7" x14ac:dyDescent="0.2">
      <c r="A68" s="55">
        <f t="shared" si="1"/>
        <v>20</v>
      </c>
      <c r="B68" s="55">
        <f t="shared" si="0"/>
        <v>20</v>
      </c>
      <c r="C68" s="80">
        <f t="shared" si="2"/>
        <v>0.99999712436906474</v>
      </c>
      <c r="D68" s="81"/>
      <c r="E68" s="81"/>
      <c r="F68" s="82"/>
      <c r="G68" s="81"/>
    </row>
    <row r="69" spans="1:7" x14ac:dyDescent="0.2">
      <c r="A69" s="55">
        <f t="shared" si="1"/>
        <v>20</v>
      </c>
      <c r="B69" s="55">
        <f t="shared" si="0"/>
        <v>20</v>
      </c>
      <c r="C69" s="80">
        <f t="shared" si="2"/>
        <v>0.99999712436906474</v>
      </c>
      <c r="D69" s="81"/>
      <c r="E69" s="81"/>
      <c r="F69" s="82"/>
      <c r="G69" s="81"/>
    </row>
    <row r="70" spans="1:7" x14ac:dyDescent="0.2">
      <c r="A70" s="55">
        <f t="shared" si="1"/>
        <v>20</v>
      </c>
      <c r="B70" s="55">
        <f t="shared" si="0"/>
        <v>20</v>
      </c>
      <c r="C70" s="80">
        <f t="shared" si="2"/>
        <v>0.99999712436906474</v>
      </c>
      <c r="D70" s="81"/>
      <c r="E70" s="81"/>
      <c r="F70" s="82"/>
      <c r="G70" s="81"/>
    </row>
    <row r="71" spans="1:7" x14ac:dyDescent="0.2">
      <c r="A71" s="55">
        <f t="shared" si="1"/>
        <v>20</v>
      </c>
      <c r="B71" s="55">
        <f t="shared" si="0"/>
        <v>20</v>
      </c>
      <c r="C71" s="80">
        <f t="shared" si="2"/>
        <v>0.99999712436906474</v>
      </c>
      <c r="D71" s="81"/>
      <c r="E71" s="81"/>
      <c r="F71" s="82"/>
      <c r="G71" s="81"/>
    </row>
    <row r="72" spans="1:7" x14ac:dyDescent="0.2">
      <c r="A72" s="55">
        <f t="shared" si="1"/>
        <v>20</v>
      </c>
      <c r="B72" s="55">
        <f t="shared" si="0"/>
        <v>20</v>
      </c>
      <c r="C72" s="80">
        <f t="shared" si="2"/>
        <v>0.99999712436906474</v>
      </c>
      <c r="D72" s="81"/>
      <c r="E72" s="81"/>
      <c r="F72" s="82"/>
      <c r="G72" s="81"/>
    </row>
    <row r="73" spans="1:7" x14ac:dyDescent="0.2">
      <c r="A73" s="55">
        <f t="shared" si="1"/>
        <v>20</v>
      </c>
      <c r="B73" s="55">
        <f t="shared" si="0"/>
        <v>20</v>
      </c>
      <c r="C73" s="80">
        <f t="shared" si="2"/>
        <v>0.99999712436906474</v>
      </c>
      <c r="D73" s="81"/>
      <c r="E73" s="81"/>
      <c r="F73" s="82"/>
      <c r="G73" s="81"/>
    </row>
    <row r="74" spans="1:7" x14ac:dyDescent="0.2">
      <c r="A74" s="55">
        <f t="shared" si="1"/>
        <v>20</v>
      </c>
      <c r="B74" s="55">
        <f t="shared" si="0"/>
        <v>20</v>
      </c>
      <c r="C74" s="80">
        <f t="shared" si="2"/>
        <v>0.99999712436906474</v>
      </c>
      <c r="D74" s="81"/>
      <c r="E74" s="81"/>
      <c r="F74" s="82"/>
      <c r="G74" s="81"/>
    </row>
    <row r="75" spans="1:7" x14ac:dyDescent="0.2">
      <c r="A75" s="55">
        <f t="shared" si="1"/>
        <v>20</v>
      </c>
      <c r="B75" s="55">
        <f t="shared" si="0"/>
        <v>20</v>
      </c>
      <c r="C75" s="80">
        <f t="shared" si="2"/>
        <v>0.99999712436906474</v>
      </c>
      <c r="D75" s="81"/>
      <c r="E75" s="81"/>
      <c r="F75" s="82"/>
      <c r="G75" s="81"/>
    </row>
    <row r="76" spans="1:7" x14ac:dyDescent="0.2">
      <c r="A76" s="55">
        <f t="shared" si="1"/>
        <v>20</v>
      </c>
      <c r="B76" s="55">
        <f t="shared" si="0"/>
        <v>20</v>
      </c>
      <c r="C76" s="80">
        <f t="shared" si="2"/>
        <v>0.99999712436906474</v>
      </c>
      <c r="D76" s="81"/>
      <c r="E76" s="81"/>
      <c r="F76" s="82"/>
      <c r="G76" s="81"/>
    </row>
    <row r="77" spans="1:7" x14ac:dyDescent="0.2">
      <c r="A77" s="55">
        <f t="shared" si="1"/>
        <v>20</v>
      </c>
      <c r="B77" s="55">
        <f t="shared" si="0"/>
        <v>20</v>
      </c>
      <c r="C77" s="80">
        <f t="shared" si="2"/>
        <v>0.99999712436906474</v>
      </c>
      <c r="D77" s="81"/>
      <c r="E77" s="81"/>
      <c r="F77" s="82"/>
      <c r="G77" s="81"/>
    </row>
    <row r="78" spans="1:7" x14ac:dyDescent="0.2">
      <c r="A78" s="55">
        <f t="shared" si="1"/>
        <v>20</v>
      </c>
      <c r="B78" s="55">
        <f t="shared" si="0"/>
        <v>20</v>
      </c>
      <c r="C78" s="80">
        <f t="shared" si="2"/>
        <v>0.99999712436906474</v>
      </c>
      <c r="D78" s="81"/>
      <c r="E78" s="81"/>
      <c r="F78" s="82"/>
      <c r="G78" s="81"/>
    </row>
    <row r="79" spans="1:7" x14ac:dyDescent="0.2">
      <c r="A79" s="55">
        <f t="shared" si="1"/>
        <v>20</v>
      </c>
      <c r="B79" s="55">
        <f t="shared" si="0"/>
        <v>20</v>
      </c>
      <c r="C79" s="80">
        <f t="shared" si="2"/>
        <v>0.99999712436906474</v>
      </c>
      <c r="D79" s="81"/>
      <c r="E79" s="81"/>
      <c r="F79" s="82"/>
      <c r="G79" s="81"/>
    </row>
    <row r="80" spans="1:7" x14ac:dyDescent="0.2">
      <c r="A80" s="55">
        <f t="shared" si="1"/>
        <v>20</v>
      </c>
      <c r="B80" s="55">
        <f t="shared" si="0"/>
        <v>20</v>
      </c>
      <c r="C80" s="80">
        <f t="shared" si="2"/>
        <v>0.99999712436906474</v>
      </c>
      <c r="D80" s="81"/>
      <c r="E80" s="81"/>
      <c r="F80" s="82"/>
      <c r="G80" s="81"/>
    </row>
    <row r="81" spans="1:7" x14ac:dyDescent="0.2">
      <c r="A81" s="55">
        <f t="shared" si="1"/>
        <v>20</v>
      </c>
      <c r="B81" s="55">
        <f t="shared" ref="B81:B141" si="3">A81+$C$11*$C$12</f>
        <v>20</v>
      </c>
      <c r="C81" s="80">
        <f t="shared" si="2"/>
        <v>0.99999712436906474</v>
      </c>
      <c r="D81" s="81"/>
      <c r="E81" s="81"/>
      <c r="F81" s="82"/>
      <c r="G81" s="81"/>
    </row>
    <row r="82" spans="1:7" x14ac:dyDescent="0.2">
      <c r="A82" s="55">
        <f t="shared" ref="A82:A141" si="4">IF(A81&lt;$C$10-$C$11,A81+$C$11,$C$10)</f>
        <v>20</v>
      </c>
      <c r="B82" s="55">
        <f t="shared" si="3"/>
        <v>20</v>
      </c>
      <c r="C82" s="80">
        <f t="shared" ref="C82:C141" si="5">1/(1+EXP(-LN(19)*(B82-$D$6)/$D$7))</f>
        <v>0.99999712436906474</v>
      </c>
      <c r="D82" s="81"/>
      <c r="E82" s="81"/>
      <c r="F82" s="82"/>
      <c r="G82" s="81"/>
    </row>
    <row r="83" spans="1:7" x14ac:dyDescent="0.2">
      <c r="A83" s="55">
        <f t="shared" si="4"/>
        <v>20</v>
      </c>
      <c r="B83" s="55">
        <f t="shared" si="3"/>
        <v>20</v>
      </c>
      <c r="C83" s="80">
        <f t="shared" si="5"/>
        <v>0.99999712436906474</v>
      </c>
      <c r="D83" s="81"/>
      <c r="E83" s="81"/>
      <c r="F83" s="82"/>
      <c r="G83" s="81"/>
    </row>
    <row r="84" spans="1:7" x14ac:dyDescent="0.2">
      <c r="A84" s="55">
        <f t="shared" si="4"/>
        <v>20</v>
      </c>
      <c r="B84" s="55">
        <f t="shared" si="3"/>
        <v>20</v>
      </c>
      <c r="C84" s="80">
        <f t="shared" si="5"/>
        <v>0.99999712436906474</v>
      </c>
      <c r="D84" s="81"/>
      <c r="E84" s="81"/>
      <c r="F84" s="82"/>
      <c r="G84" s="81"/>
    </row>
    <row r="85" spans="1:7" x14ac:dyDescent="0.2">
      <c r="A85" s="55">
        <f t="shared" si="4"/>
        <v>20</v>
      </c>
      <c r="B85" s="55">
        <f t="shared" si="3"/>
        <v>20</v>
      </c>
      <c r="C85" s="80">
        <f t="shared" si="5"/>
        <v>0.99999712436906474</v>
      </c>
      <c r="D85" s="81"/>
      <c r="E85" s="81"/>
      <c r="F85" s="82"/>
      <c r="G85" s="81"/>
    </row>
    <row r="86" spans="1:7" x14ac:dyDescent="0.2">
      <c r="A86" s="55">
        <f t="shared" si="4"/>
        <v>20</v>
      </c>
      <c r="B86" s="55">
        <f t="shared" si="3"/>
        <v>20</v>
      </c>
      <c r="C86" s="80">
        <f t="shared" si="5"/>
        <v>0.99999712436906474</v>
      </c>
      <c r="D86" s="81"/>
      <c r="E86" s="81"/>
      <c r="F86" s="82"/>
      <c r="G86" s="81"/>
    </row>
    <row r="87" spans="1:7" x14ac:dyDescent="0.2">
      <c r="A87" s="55">
        <f t="shared" si="4"/>
        <v>20</v>
      </c>
      <c r="B87" s="55">
        <f t="shared" si="3"/>
        <v>20</v>
      </c>
      <c r="C87" s="80">
        <f t="shared" si="5"/>
        <v>0.99999712436906474</v>
      </c>
      <c r="D87" s="81"/>
      <c r="E87" s="81"/>
      <c r="F87" s="82"/>
      <c r="G87" s="81"/>
    </row>
    <row r="88" spans="1:7" x14ac:dyDescent="0.2">
      <c r="A88" s="55">
        <f t="shared" si="4"/>
        <v>20</v>
      </c>
      <c r="B88" s="55">
        <f t="shared" si="3"/>
        <v>20</v>
      </c>
      <c r="C88" s="80">
        <f t="shared" si="5"/>
        <v>0.99999712436906474</v>
      </c>
      <c r="D88" s="81"/>
      <c r="E88" s="81"/>
      <c r="F88" s="82"/>
      <c r="G88" s="81"/>
    </row>
    <row r="89" spans="1:7" x14ac:dyDescent="0.2">
      <c r="A89" s="55">
        <f t="shared" si="4"/>
        <v>20</v>
      </c>
      <c r="B89" s="55">
        <f t="shared" si="3"/>
        <v>20</v>
      </c>
      <c r="C89" s="80">
        <f t="shared" si="5"/>
        <v>0.99999712436906474</v>
      </c>
      <c r="D89" s="81"/>
      <c r="E89" s="81"/>
      <c r="F89" s="82"/>
      <c r="G89" s="81"/>
    </row>
    <row r="90" spans="1:7" x14ac:dyDescent="0.2">
      <c r="A90" s="55">
        <f t="shared" si="4"/>
        <v>20</v>
      </c>
      <c r="B90" s="55">
        <f t="shared" si="3"/>
        <v>20</v>
      </c>
      <c r="C90" s="80">
        <f t="shared" si="5"/>
        <v>0.99999712436906474</v>
      </c>
      <c r="D90" s="81"/>
      <c r="E90" s="81"/>
      <c r="F90" s="82"/>
      <c r="G90" s="81"/>
    </row>
    <row r="91" spans="1:7" x14ac:dyDescent="0.2">
      <c r="A91" s="55">
        <f t="shared" si="4"/>
        <v>20</v>
      </c>
      <c r="B91" s="55">
        <f t="shared" si="3"/>
        <v>20</v>
      </c>
      <c r="C91" s="80">
        <f t="shared" si="5"/>
        <v>0.99999712436906474</v>
      </c>
      <c r="D91" s="81"/>
      <c r="E91" s="81"/>
      <c r="F91" s="82"/>
      <c r="G91" s="81"/>
    </row>
    <row r="92" spans="1:7" x14ac:dyDescent="0.2">
      <c r="A92" s="55">
        <f t="shared" si="4"/>
        <v>20</v>
      </c>
      <c r="B92" s="55">
        <f t="shared" si="3"/>
        <v>20</v>
      </c>
      <c r="C92" s="80">
        <f t="shared" si="5"/>
        <v>0.99999712436906474</v>
      </c>
      <c r="D92" s="81"/>
      <c r="E92" s="81"/>
      <c r="F92" s="82"/>
      <c r="G92" s="81"/>
    </row>
    <row r="93" spans="1:7" x14ac:dyDescent="0.2">
      <c r="A93" s="55">
        <f t="shared" si="4"/>
        <v>20</v>
      </c>
      <c r="B93" s="55">
        <f t="shared" si="3"/>
        <v>20</v>
      </c>
      <c r="C93" s="80">
        <f t="shared" si="5"/>
        <v>0.99999712436906474</v>
      </c>
      <c r="D93" s="81"/>
      <c r="E93" s="81"/>
      <c r="F93" s="82"/>
      <c r="G93" s="81"/>
    </row>
    <row r="94" spans="1:7" x14ac:dyDescent="0.2">
      <c r="A94" s="55">
        <f t="shared" si="4"/>
        <v>20</v>
      </c>
      <c r="B94" s="55">
        <f t="shared" si="3"/>
        <v>20</v>
      </c>
      <c r="C94" s="80">
        <f t="shared" si="5"/>
        <v>0.99999712436906474</v>
      </c>
      <c r="D94" s="81"/>
      <c r="E94" s="81"/>
      <c r="F94" s="82"/>
      <c r="G94" s="81"/>
    </row>
    <row r="95" spans="1:7" x14ac:dyDescent="0.2">
      <c r="A95" s="55">
        <f t="shared" si="4"/>
        <v>20</v>
      </c>
      <c r="B95" s="55">
        <f t="shared" si="3"/>
        <v>20</v>
      </c>
      <c r="C95" s="80">
        <f t="shared" si="5"/>
        <v>0.99999712436906474</v>
      </c>
      <c r="D95" s="81"/>
      <c r="E95" s="81"/>
      <c r="F95" s="82"/>
      <c r="G95" s="81"/>
    </row>
    <row r="96" spans="1:7" x14ac:dyDescent="0.2">
      <c r="A96" s="55">
        <f t="shared" si="4"/>
        <v>20</v>
      </c>
      <c r="B96" s="55">
        <f t="shared" si="3"/>
        <v>20</v>
      </c>
      <c r="C96" s="80">
        <f t="shared" si="5"/>
        <v>0.99999712436906474</v>
      </c>
      <c r="D96" s="81"/>
      <c r="E96" s="81"/>
      <c r="F96" s="82"/>
      <c r="G96" s="81"/>
    </row>
    <row r="97" spans="1:7" x14ac:dyDescent="0.2">
      <c r="A97" s="55">
        <f t="shared" si="4"/>
        <v>20</v>
      </c>
      <c r="B97" s="55">
        <f t="shared" si="3"/>
        <v>20</v>
      </c>
      <c r="C97" s="80">
        <f t="shared" si="5"/>
        <v>0.99999712436906474</v>
      </c>
      <c r="D97" s="81"/>
      <c r="E97" s="81"/>
      <c r="F97" s="82"/>
      <c r="G97" s="81"/>
    </row>
    <row r="98" spans="1:7" x14ac:dyDescent="0.2">
      <c r="A98" s="55">
        <f t="shared" si="4"/>
        <v>20</v>
      </c>
      <c r="B98" s="55">
        <f t="shared" si="3"/>
        <v>20</v>
      </c>
      <c r="C98" s="80">
        <f t="shared" si="5"/>
        <v>0.99999712436906474</v>
      </c>
      <c r="D98" s="81"/>
      <c r="E98" s="81"/>
      <c r="F98" s="82"/>
      <c r="G98" s="81"/>
    </row>
    <row r="99" spans="1:7" x14ac:dyDescent="0.2">
      <c r="A99" s="55">
        <f t="shared" si="4"/>
        <v>20</v>
      </c>
      <c r="B99" s="55">
        <f t="shared" si="3"/>
        <v>20</v>
      </c>
      <c r="C99" s="80">
        <f t="shared" si="5"/>
        <v>0.99999712436906474</v>
      </c>
      <c r="D99" s="81"/>
      <c r="E99" s="81"/>
      <c r="F99" s="82"/>
      <c r="G99" s="81"/>
    </row>
    <row r="100" spans="1:7" x14ac:dyDescent="0.2">
      <c r="A100" s="55">
        <f t="shared" si="4"/>
        <v>20</v>
      </c>
      <c r="B100" s="55">
        <f t="shared" si="3"/>
        <v>20</v>
      </c>
      <c r="C100" s="80">
        <f t="shared" si="5"/>
        <v>0.99999712436906474</v>
      </c>
      <c r="D100" s="81"/>
      <c r="E100" s="81"/>
      <c r="F100" s="82"/>
      <c r="G100" s="81"/>
    </row>
    <row r="101" spans="1:7" x14ac:dyDescent="0.2">
      <c r="A101" s="55">
        <f t="shared" si="4"/>
        <v>20</v>
      </c>
      <c r="B101" s="55">
        <f t="shared" si="3"/>
        <v>20</v>
      </c>
      <c r="C101" s="80">
        <f t="shared" si="5"/>
        <v>0.99999712436906474</v>
      </c>
      <c r="D101" s="81"/>
      <c r="E101" s="81"/>
      <c r="F101" s="82"/>
      <c r="G101" s="81"/>
    </row>
    <row r="102" spans="1:7" x14ac:dyDescent="0.2">
      <c r="A102" s="55">
        <f t="shared" si="4"/>
        <v>20</v>
      </c>
      <c r="B102" s="55">
        <f t="shared" si="3"/>
        <v>20</v>
      </c>
      <c r="C102" s="80">
        <f t="shared" si="5"/>
        <v>0.99999712436906474</v>
      </c>
      <c r="D102" s="81"/>
      <c r="E102" s="81"/>
      <c r="F102" s="82"/>
      <c r="G102" s="81"/>
    </row>
    <row r="103" spans="1:7" x14ac:dyDescent="0.2">
      <c r="A103" s="55">
        <f t="shared" si="4"/>
        <v>20</v>
      </c>
      <c r="B103" s="55">
        <f t="shared" si="3"/>
        <v>20</v>
      </c>
      <c r="C103" s="80">
        <f t="shared" si="5"/>
        <v>0.99999712436906474</v>
      </c>
      <c r="D103" s="81"/>
      <c r="E103" s="81"/>
      <c r="F103" s="82"/>
      <c r="G103" s="81"/>
    </row>
    <row r="104" spans="1:7" x14ac:dyDescent="0.2">
      <c r="A104" s="55">
        <f t="shared" si="4"/>
        <v>20</v>
      </c>
      <c r="B104" s="55">
        <f t="shared" si="3"/>
        <v>20</v>
      </c>
      <c r="C104" s="80">
        <f t="shared" si="5"/>
        <v>0.99999712436906474</v>
      </c>
      <c r="D104" s="81"/>
      <c r="E104" s="81"/>
      <c r="F104" s="82"/>
      <c r="G104" s="81"/>
    </row>
    <row r="105" spans="1:7" x14ac:dyDescent="0.2">
      <c r="A105" s="55">
        <f t="shared" si="4"/>
        <v>20</v>
      </c>
      <c r="B105" s="55">
        <f t="shared" si="3"/>
        <v>20</v>
      </c>
      <c r="C105" s="80">
        <f t="shared" si="5"/>
        <v>0.99999712436906474</v>
      </c>
      <c r="D105" s="81"/>
      <c r="E105" s="81"/>
      <c r="F105" s="82"/>
      <c r="G105" s="81"/>
    </row>
    <row r="106" spans="1:7" x14ac:dyDescent="0.2">
      <c r="A106" s="55">
        <f t="shared" si="4"/>
        <v>20</v>
      </c>
      <c r="B106" s="55">
        <f t="shared" si="3"/>
        <v>20</v>
      </c>
      <c r="C106" s="80">
        <f t="shared" si="5"/>
        <v>0.99999712436906474</v>
      </c>
      <c r="D106" s="81"/>
      <c r="E106" s="81"/>
      <c r="F106" s="82"/>
      <c r="G106" s="81"/>
    </row>
    <row r="107" spans="1:7" x14ac:dyDescent="0.2">
      <c r="A107" s="55">
        <f t="shared" si="4"/>
        <v>20</v>
      </c>
      <c r="B107" s="55">
        <f t="shared" si="3"/>
        <v>20</v>
      </c>
      <c r="C107" s="80">
        <f t="shared" si="5"/>
        <v>0.99999712436906474</v>
      </c>
      <c r="D107" s="81"/>
      <c r="E107" s="81"/>
      <c r="F107" s="82"/>
      <c r="G107" s="81"/>
    </row>
    <row r="108" spans="1:7" x14ac:dyDescent="0.2">
      <c r="A108" s="55">
        <f t="shared" si="4"/>
        <v>20</v>
      </c>
      <c r="B108" s="55">
        <f t="shared" si="3"/>
        <v>20</v>
      </c>
      <c r="C108" s="80">
        <f t="shared" si="5"/>
        <v>0.99999712436906474</v>
      </c>
      <c r="D108" s="81"/>
      <c r="E108" s="81"/>
      <c r="F108" s="82"/>
      <c r="G108" s="81"/>
    </row>
    <row r="109" spans="1:7" x14ac:dyDescent="0.2">
      <c r="A109" s="55">
        <f t="shared" si="4"/>
        <v>20</v>
      </c>
      <c r="B109" s="55">
        <f t="shared" si="3"/>
        <v>20</v>
      </c>
      <c r="C109" s="80">
        <f t="shared" si="5"/>
        <v>0.99999712436906474</v>
      </c>
      <c r="D109" s="81"/>
      <c r="E109" s="81"/>
      <c r="F109" s="82"/>
      <c r="G109" s="81"/>
    </row>
    <row r="110" spans="1:7" x14ac:dyDescent="0.2">
      <c r="A110" s="55">
        <f t="shared" si="4"/>
        <v>20</v>
      </c>
      <c r="B110" s="55">
        <f t="shared" si="3"/>
        <v>20</v>
      </c>
      <c r="C110" s="80">
        <f t="shared" si="5"/>
        <v>0.99999712436906474</v>
      </c>
      <c r="D110" s="81"/>
      <c r="E110" s="81"/>
      <c r="F110" s="82"/>
      <c r="G110" s="81"/>
    </row>
    <row r="111" spans="1:7" x14ac:dyDescent="0.2">
      <c r="A111" s="55">
        <f t="shared" si="4"/>
        <v>20</v>
      </c>
      <c r="B111" s="55">
        <f t="shared" si="3"/>
        <v>20</v>
      </c>
      <c r="C111" s="80">
        <f t="shared" si="5"/>
        <v>0.99999712436906474</v>
      </c>
      <c r="D111" s="81"/>
      <c r="E111" s="81"/>
      <c r="F111" s="82"/>
      <c r="G111" s="81"/>
    </row>
    <row r="112" spans="1:7" x14ac:dyDescent="0.2">
      <c r="A112" s="55">
        <f t="shared" si="4"/>
        <v>20</v>
      </c>
      <c r="B112" s="55">
        <f t="shared" si="3"/>
        <v>20</v>
      </c>
      <c r="C112" s="80">
        <f t="shared" si="5"/>
        <v>0.99999712436906474</v>
      </c>
      <c r="D112" s="81"/>
      <c r="E112" s="81"/>
      <c r="F112" s="82"/>
      <c r="G112" s="81"/>
    </row>
    <row r="113" spans="1:7" x14ac:dyDescent="0.2">
      <c r="A113" s="55">
        <f t="shared" si="4"/>
        <v>20</v>
      </c>
      <c r="B113" s="55">
        <f t="shared" si="3"/>
        <v>20</v>
      </c>
      <c r="C113" s="80">
        <f t="shared" si="5"/>
        <v>0.99999712436906474</v>
      </c>
      <c r="D113" s="81"/>
      <c r="E113" s="81"/>
      <c r="F113" s="82"/>
      <c r="G113" s="81"/>
    </row>
    <row r="114" spans="1:7" x14ac:dyDescent="0.2">
      <c r="A114" s="55">
        <f t="shared" si="4"/>
        <v>20</v>
      </c>
      <c r="B114" s="55">
        <f t="shared" si="3"/>
        <v>20</v>
      </c>
      <c r="C114" s="80">
        <f t="shared" si="5"/>
        <v>0.99999712436906474</v>
      </c>
      <c r="D114" s="81"/>
      <c r="E114" s="81"/>
      <c r="F114" s="82"/>
      <c r="G114" s="81"/>
    </row>
    <row r="115" spans="1:7" x14ac:dyDescent="0.2">
      <c r="A115" s="55">
        <f t="shared" si="4"/>
        <v>20</v>
      </c>
      <c r="B115" s="55">
        <f t="shared" si="3"/>
        <v>20</v>
      </c>
      <c r="C115" s="80">
        <f t="shared" si="5"/>
        <v>0.99999712436906474</v>
      </c>
      <c r="D115" s="81"/>
      <c r="E115" s="81"/>
      <c r="F115" s="82"/>
      <c r="G115" s="81"/>
    </row>
    <row r="116" spans="1:7" x14ac:dyDescent="0.2">
      <c r="A116" s="55">
        <f t="shared" si="4"/>
        <v>20</v>
      </c>
      <c r="B116" s="55">
        <f t="shared" si="3"/>
        <v>20</v>
      </c>
      <c r="C116" s="80">
        <f t="shared" si="5"/>
        <v>0.99999712436906474</v>
      </c>
      <c r="D116" s="81"/>
      <c r="E116" s="81"/>
      <c r="F116" s="82"/>
      <c r="G116" s="81"/>
    </row>
    <row r="117" spans="1:7" x14ac:dyDescent="0.2">
      <c r="A117" s="55">
        <f t="shared" si="4"/>
        <v>20</v>
      </c>
      <c r="B117" s="55">
        <f t="shared" si="3"/>
        <v>20</v>
      </c>
      <c r="C117" s="80">
        <f t="shared" si="5"/>
        <v>0.99999712436906474</v>
      </c>
      <c r="D117" s="81"/>
      <c r="E117" s="81"/>
      <c r="F117" s="82"/>
      <c r="G117" s="81"/>
    </row>
    <row r="118" spans="1:7" x14ac:dyDescent="0.2">
      <c r="A118" s="55">
        <f t="shared" si="4"/>
        <v>20</v>
      </c>
      <c r="B118" s="55">
        <f t="shared" si="3"/>
        <v>20</v>
      </c>
      <c r="C118" s="80">
        <f t="shared" si="5"/>
        <v>0.99999712436906474</v>
      </c>
      <c r="D118" s="81"/>
      <c r="E118" s="81"/>
      <c r="F118" s="82"/>
      <c r="G118" s="81"/>
    </row>
    <row r="119" spans="1:7" x14ac:dyDescent="0.2">
      <c r="A119" s="55">
        <f t="shared" si="4"/>
        <v>20</v>
      </c>
      <c r="B119" s="55">
        <f t="shared" si="3"/>
        <v>20</v>
      </c>
      <c r="C119" s="80">
        <f t="shared" si="5"/>
        <v>0.99999712436906474</v>
      </c>
      <c r="D119" s="81"/>
      <c r="E119" s="81"/>
      <c r="F119" s="82"/>
      <c r="G119" s="81"/>
    </row>
    <row r="120" spans="1:7" x14ac:dyDescent="0.2">
      <c r="A120" s="55">
        <f t="shared" si="4"/>
        <v>20</v>
      </c>
      <c r="B120" s="55">
        <f t="shared" si="3"/>
        <v>20</v>
      </c>
      <c r="C120" s="80">
        <f t="shared" si="5"/>
        <v>0.99999712436906474</v>
      </c>
      <c r="D120" s="81"/>
      <c r="E120" s="81"/>
      <c r="F120" s="82"/>
      <c r="G120" s="81"/>
    </row>
    <row r="121" spans="1:7" x14ac:dyDescent="0.2">
      <c r="A121" s="55">
        <f t="shared" si="4"/>
        <v>20</v>
      </c>
      <c r="B121" s="55">
        <f t="shared" si="3"/>
        <v>20</v>
      </c>
      <c r="C121" s="80">
        <f t="shared" si="5"/>
        <v>0.99999712436906474</v>
      </c>
      <c r="D121" s="81"/>
      <c r="E121" s="81"/>
      <c r="F121" s="82"/>
      <c r="G121" s="81"/>
    </row>
    <row r="122" spans="1:7" x14ac:dyDescent="0.2">
      <c r="A122" s="55">
        <f t="shared" si="4"/>
        <v>20</v>
      </c>
      <c r="B122" s="55">
        <f t="shared" si="3"/>
        <v>20</v>
      </c>
      <c r="C122" s="80">
        <f t="shared" si="5"/>
        <v>0.99999712436906474</v>
      </c>
      <c r="D122" s="81"/>
      <c r="E122" s="81"/>
      <c r="F122" s="82"/>
      <c r="G122" s="81"/>
    </row>
    <row r="123" spans="1:7" x14ac:dyDescent="0.2">
      <c r="A123" s="55">
        <f t="shared" si="4"/>
        <v>20</v>
      </c>
      <c r="B123" s="55">
        <f t="shared" si="3"/>
        <v>20</v>
      </c>
      <c r="C123" s="80">
        <f t="shared" si="5"/>
        <v>0.99999712436906474</v>
      </c>
      <c r="D123" s="81"/>
      <c r="E123" s="81"/>
      <c r="F123" s="82"/>
      <c r="G123" s="81"/>
    </row>
    <row r="124" spans="1:7" x14ac:dyDescent="0.2">
      <c r="A124" s="55">
        <f t="shared" si="4"/>
        <v>20</v>
      </c>
      <c r="B124" s="55">
        <f t="shared" si="3"/>
        <v>20</v>
      </c>
      <c r="C124" s="80">
        <f t="shared" si="5"/>
        <v>0.99999712436906474</v>
      </c>
      <c r="D124" s="81"/>
      <c r="E124" s="81"/>
      <c r="F124" s="82"/>
      <c r="G124" s="81"/>
    </row>
    <row r="125" spans="1:7" x14ac:dyDescent="0.2">
      <c r="A125" s="55">
        <f t="shared" si="4"/>
        <v>20</v>
      </c>
      <c r="B125" s="55">
        <f t="shared" si="3"/>
        <v>20</v>
      </c>
      <c r="C125" s="80">
        <f t="shared" si="5"/>
        <v>0.99999712436906474</v>
      </c>
      <c r="D125" s="81"/>
      <c r="E125" s="81"/>
      <c r="F125" s="82"/>
      <c r="G125" s="81"/>
    </row>
    <row r="126" spans="1:7" x14ac:dyDescent="0.2">
      <c r="A126" s="55">
        <f t="shared" si="4"/>
        <v>20</v>
      </c>
      <c r="B126" s="55">
        <f t="shared" si="3"/>
        <v>20</v>
      </c>
      <c r="C126" s="80">
        <f t="shared" si="5"/>
        <v>0.99999712436906474</v>
      </c>
      <c r="D126" s="81"/>
      <c r="E126" s="81"/>
      <c r="F126" s="82"/>
      <c r="G126" s="81"/>
    </row>
    <row r="127" spans="1:7" x14ac:dyDescent="0.2">
      <c r="A127" s="55">
        <f t="shared" si="4"/>
        <v>20</v>
      </c>
      <c r="B127" s="55">
        <f t="shared" si="3"/>
        <v>20</v>
      </c>
      <c r="C127" s="80">
        <f t="shared" si="5"/>
        <v>0.99999712436906474</v>
      </c>
      <c r="D127" s="81"/>
      <c r="E127" s="81"/>
      <c r="F127" s="82"/>
      <c r="G127" s="81"/>
    </row>
    <row r="128" spans="1:7" x14ac:dyDescent="0.2">
      <c r="A128" s="55">
        <f t="shared" si="4"/>
        <v>20</v>
      </c>
      <c r="B128" s="55">
        <f t="shared" si="3"/>
        <v>20</v>
      </c>
      <c r="C128" s="80">
        <f t="shared" si="5"/>
        <v>0.99999712436906474</v>
      </c>
      <c r="D128" s="81"/>
      <c r="E128" s="81"/>
      <c r="F128" s="82"/>
      <c r="G128" s="81"/>
    </row>
    <row r="129" spans="1:7" x14ac:dyDescent="0.2">
      <c r="A129" s="55">
        <f t="shared" si="4"/>
        <v>20</v>
      </c>
      <c r="B129" s="55">
        <f t="shared" si="3"/>
        <v>20</v>
      </c>
      <c r="C129" s="80">
        <f t="shared" si="5"/>
        <v>0.99999712436906474</v>
      </c>
      <c r="D129" s="81"/>
      <c r="E129" s="81"/>
      <c r="F129" s="82"/>
      <c r="G129" s="81"/>
    </row>
    <row r="130" spans="1:7" x14ac:dyDescent="0.2">
      <c r="A130" s="55">
        <f t="shared" si="4"/>
        <v>20</v>
      </c>
      <c r="B130" s="55">
        <f t="shared" si="3"/>
        <v>20</v>
      </c>
      <c r="C130" s="80">
        <f t="shared" si="5"/>
        <v>0.99999712436906474</v>
      </c>
      <c r="D130" s="81"/>
      <c r="E130" s="81"/>
      <c r="F130" s="82"/>
      <c r="G130" s="81"/>
    </row>
    <row r="131" spans="1:7" x14ac:dyDescent="0.2">
      <c r="A131" s="55">
        <f t="shared" si="4"/>
        <v>20</v>
      </c>
      <c r="B131" s="55">
        <f t="shared" si="3"/>
        <v>20</v>
      </c>
      <c r="C131" s="80">
        <f t="shared" si="5"/>
        <v>0.99999712436906474</v>
      </c>
      <c r="D131" s="81"/>
      <c r="E131" s="81"/>
      <c r="F131" s="82"/>
      <c r="G131" s="81"/>
    </row>
    <row r="132" spans="1:7" x14ac:dyDescent="0.2">
      <c r="A132" s="55">
        <f t="shared" si="4"/>
        <v>20</v>
      </c>
      <c r="B132" s="55">
        <f t="shared" si="3"/>
        <v>20</v>
      </c>
      <c r="C132" s="80">
        <f t="shared" si="5"/>
        <v>0.99999712436906474</v>
      </c>
      <c r="D132" s="81"/>
      <c r="E132" s="81"/>
      <c r="F132" s="82"/>
      <c r="G132" s="81"/>
    </row>
    <row r="133" spans="1:7" x14ac:dyDescent="0.2">
      <c r="A133" s="55">
        <f t="shared" si="4"/>
        <v>20</v>
      </c>
      <c r="B133" s="55">
        <f t="shared" si="3"/>
        <v>20</v>
      </c>
      <c r="C133" s="80">
        <f t="shared" si="5"/>
        <v>0.99999712436906474</v>
      </c>
      <c r="D133" s="81"/>
      <c r="E133" s="81"/>
      <c r="F133" s="82"/>
      <c r="G133" s="81"/>
    </row>
    <row r="134" spans="1:7" x14ac:dyDescent="0.2">
      <c r="A134" s="55">
        <f t="shared" si="4"/>
        <v>20</v>
      </c>
      <c r="B134" s="55">
        <f t="shared" si="3"/>
        <v>20</v>
      </c>
      <c r="C134" s="80">
        <f t="shared" si="5"/>
        <v>0.99999712436906474</v>
      </c>
      <c r="D134" s="81"/>
      <c r="E134" s="81"/>
      <c r="F134" s="82"/>
      <c r="G134" s="81"/>
    </row>
    <row r="135" spans="1:7" x14ac:dyDescent="0.2">
      <c r="A135" s="55">
        <f t="shared" si="4"/>
        <v>20</v>
      </c>
      <c r="B135" s="55">
        <f t="shared" si="3"/>
        <v>20</v>
      </c>
      <c r="C135" s="80">
        <f t="shared" si="5"/>
        <v>0.99999712436906474</v>
      </c>
      <c r="D135" s="81"/>
      <c r="E135" s="81"/>
      <c r="F135" s="82"/>
      <c r="G135" s="81"/>
    </row>
    <row r="136" spans="1:7" x14ac:dyDescent="0.2">
      <c r="A136" s="55">
        <f t="shared" si="4"/>
        <v>20</v>
      </c>
      <c r="B136" s="55">
        <f t="shared" si="3"/>
        <v>20</v>
      </c>
      <c r="C136" s="80">
        <f t="shared" si="5"/>
        <v>0.99999712436906474</v>
      </c>
      <c r="D136" s="81"/>
      <c r="E136" s="81"/>
      <c r="F136" s="82"/>
      <c r="G136" s="81"/>
    </row>
    <row r="137" spans="1:7" x14ac:dyDescent="0.2">
      <c r="A137" s="55">
        <f t="shared" si="4"/>
        <v>20</v>
      </c>
      <c r="B137" s="55">
        <f t="shared" si="3"/>
        <v>20</v>
      </c>
      <c r="C137" s="80">
        <f t="shared" si="5"/>
        <v>0.99999712436906474</v>
      </c>
      <c r="D137" s="81"/>
      <c r="E137" s="81"/>
      <c r="F137" s="82"/>
      <c r="G137" s="81"/>
    </row>
    <row r="138" spans="1:7" x14ac:dyDescent="0.2">
      <c r="A138" s="55">
        <f t="shared" si="4"/>
        <v>20</v>
      </c>
      <c r="B138" s="55">
        <f t="shared" si="3"/>
        <v>20</v>
      </c>
      <c r="C138" s="80">
        <f t="shared" si="5"/>
        <v>0.99999712436906474</v>
      </c>
      <c r="D138" s="81"/>
      <c r="E138" s="81"/>
      <c r="F138" s="82"/>
      <c r="G138" s="81"/>
    </row>
    <row r="139" spans="1:7" x14ac:dyDescent="0.2">
      <c r="A139" s="55">
        <f t="shared" si="4"/>
        <v>20</v>
      </c>
      <c r="B139" s="55">
        <f t="shared" si="3"/>
        <v>20</v>
      </c>
      <c r="C139" s="80">
        <f t="shared" si="5"/>
        <v>0.99999712436906474</v>
      </c>
      <c r="D139" s="81"/>
      <c r="E139" s="81"/>
      <c r="F139" s="82"/>
      <c r="G139" s="81"/>
    </row>
    <row r="140" spans="1:7" x14ac:dyDescent="0.2">
      <c r="A140" s="55">
        <f t="shared" si="4"/>
        <v>20</v>
      </c>
      <c r="B140" s="55">
        <f t="shared" si="3"/>
        <v>20</v>
      </c>
      <c r="C140" s="80">
        <f t="shared" si="5"/>
        <v>0.99999712436906474</v>
      </c>
      <c r="D140" s="81"/>
      <c r="E140" s="81"/>
      <c r="F140" s="82"/>
      <c r="G140" s="81"/>
    </row>
    <row r="141" spans="1:7" x14ac:dyDescent="0.2">
      <c r="A141" s="55">
        <f t="shared" si="4"/>
        <v>20</v>
      </c>
      <c r="B141" s="55">
        <f t="shared" si="3"/>
        <v>20</v>
      </c>
      <c r="C141" s="80">
        <f t="shared" si="5"/>
        <v>0.99999712436906474</v>
      </c>
      <c r="D141" s="81"/>
      <c r="E141" s="81"/>
      <c r="F141" s="82"/>
      <c r="G141" s="81"/>
    </row>
    <row r="142" spans="1:7" x14ac:dyDescent="0.2">
      <c r="D142" s="81"/>
      <c r="E142" s="81"/>
      <c r="G142" s="81"/>
    </row>
  </sheetData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H32"/>
  <sheetViews>
    <sheetView topLeftCell="A4" workbookViewId="0">
      <selection activeCell="L5" sqref="L5"/>
    </sheetView>
  </sheetViews>
  <sheetFormatPr defaultRowHeight="15" x14ac:dyDescent="0.25"/>
  <cols>
    <col min="1" max="1" width="4.42578125" style="84" customWidth="1"/>
    <col min="2" max="2" width="8.5703125" style="84" customWidth="1"/>
    <col min="3" max="3" width="9.85546875" style="84" customWidth="1"/>
    <col min="4" max="4" width="10.5703125" style="84" bestFit="1" customWidth="1"/>
    <col min="5" max="5" width="10.5703125" style="84" customWidth="1"/>
    <col min="6" max="6" width="5.85546875" style="84" customWidth="1"/>
    <col min="7" max="256" width="9.140625" style="84"/>
    <col min="257" max="257" width="4.42578125" style="84" customWidth="1"/>
    <col min="258" max="258" width="8.5703125" style="84" customWidth="1"/>
    <col min="259" max="259" width="9.85546875" style="84" customWidth="1"/>
    <col min="260" max="260" width="10.5703125" style="84" bestFit="1" customWidth="1"/>
    <col min="261" max="261" width="10.5703125" style="84" customWidth="1"/>
    <col min="262" max="262" width="5.85546875" style="84" customWidth="1"/>
    <col min="263" max="512" width="9.140625" style="84"/>
    <col min="513" max="513" width="4.42578125" style="84" customWidth="1"/>
    <col min="514" max="514" width="8.5703125" style="84" customWidth="1"/>
    <col min="515" max="515" width="9.85546875" style="84" customWidth="1"/>
    <col min="516" max="516" width="10.5703125" style="84" bestFit="1" customWidth="1"/>
    <col min="517" max="517" width="10.5703125" style="84" customWidth="1"/>
    <col min="518" max="518" width="5.85546875" style="84" customWidth="1"/>
    <col min="519" max="768" width="9.140625" style="84"/>
    <col min="769" max="769" width="4.42578125" style="84" customWidth="1"/>
    <col min="770" max="770" width="8.5703125" style="84" customWidth="1"/>
    <col min="771" max="771" width="9.85546875" style="84" customWidth="1"/>
    <col min="772" max="772" width="10.5703125" style="84" bestFit="1" customWidth="1"/>
    <col min="773" max="773" width="10.5703125" style="84" customWidth="1"/>
    <col min="774" max="774" width="5.85546875" style="84" customWidth="1"/>
    <col min="775" max="1024" width="9.140625" style="84"/>
    <col min="1025" max="1025" width="4.42578125" style="84" customWidth="1"/>
    <col min="1026" max="1026" width="8.5703125" style="84" customWidth="1"/>
    <col min="1027" max="1027" width="9.85546875" style="84" customWidth="1"/>
    <col min="1028" max="1028" width="10.5703125" style="84" bestFit="1" customWidth="1"/>
    <col min="1029" max="1029" width="10.5703125" style="84" customWidth="1"/>
    <col min="1030" max="1030" width="5.85546875" style="84" customWidth="1"/>
    <col min="1031" max="1280" width="9.140625" style="84"/>
    <col min="1281" max="1281" width="4.42578125" style="84" customWidth="1"/>
    <col min="1282" max="1282" width="8.5703125" style="84" customWidth="1"/>
    <col min="1283" max="1283" width="9.85546875" style="84" customWidth="1"/>
    <col min="1284" max="1284" width="10.5703125" style="84" bestFit="1" customWidth="1"/>
    <col min="1285" max="1285" width="10.5703125" style="84" customWidth="1"/>
    <col min="1286" max="1286" width="5.85546875" style="84" customWidth="1"/>
    <col min="1287" max="1536" width="9.140625" style="84"/>
    <col min="1537" max="1537" width="4.42578125" style="84" customWidth="1"/>
    <col min="1538" max="1538" width="8.5703125" style="84" customWidth="1"/>
    <col min="1539" max="1539" width="9.85546875" style="84" customWidth="1"/>
    <col min="1540" max="1540" width="10.5703125" style="84" bestFit="1" customWidth="1"/>
    <col min="1541" max="1541" width="10.5703125" style="84" customWidth="1"/>
    <col min="1542" max="1542" width="5.85546875" style="84" customWidth="1"/>
    <col min="1543" max="1792" width="9.140625" style="84"/>
    <col min="1793" max="1793" width="4.42578125" style="84" customWidth="1"/>
    <col min="1794" max="1794" width="8.5703125" style="84" customWidth="1"/>
    <col min="1795" max="1795" width="9.85546875" style="84" customWidth="1"/>
    <col min="1796" max="1796" width="10.5703125" style="84" bestFit="1" customWidth="1"/>
    <col min="1797" max="1797" width="10.5703125" style="84" customWidth="1"/>
    <col min="1798" max="1798" width="5.85546875" style="84" customWidth="1"/>
    <col min="1799" max="2048" width="9.140625" style="84"/>
    <col min="2049" max="2049" width="4.42578125" style="84" customWidth="1"/>
    <col min="2050" max="2050" width="8.5703125" style="84" customWidth="1"/>
    <col min="2051" max="2051" width="9.85546875" style="84" customWidth="1"/>
    <col min="2052" max="2052" width="10.5703125" style="84" bestFit="1" customWidth="1"/>
    <col min="2053" max="2053" width="10.5703125" style="84" customWidth="1"/>
    <col min="2054" max="2054" width="5.85546875" style="84" customWidth="1"/>
    <col min="2055" max="2304" width="9.140625" style="84"/>
    <col min="2305" max="2305" width="4.42578125" style="84" customWidth="1"/>
    <col min="2306" max="2306" width="8.5703125" style="84" customWidth="1"/>
    <col min="2307" max="2307" width="9.85546875" style="84" customWidth="1"/>
    <col min="2308" max="2308" width="10.5703125" style="84" bestFit="1" customWidth="1"/>
    <col min="2309" max="2309" width="10.5703125" style="84" customWidth="1"/>
    <col min="2310" max="2310" width="5.85546875" style="84" customWidth="1"/>
    <col min="2311" max="2560" width="9.140625" style="84"/>
    <col min="2561" max="2561" width="4.42578125" style="84" customWidth="1"/>
    <col min="2562" max="2562" width="8.5703125" style="84" customWidth="1"/>
    <col min="2563" max="2563" width="9.85546875" style="84" customWidth="1"/>
    <col min="2564" max="2564" width="10.5703125" style="84" bestFit="1" customWidth="1"/>
    <col min="2565" max="2565" width="10.5703125" style="84" customWidth="1"/>
    <col min="2566" max="2566" width="5.85546875" style="84" customWidth="1"/>
    <col min="2567" max="2816" width="9.140625" style="84"/>
    <col min="2817" max="2817" width="4.42578125" style="84" customWidth="1"/>
    <col min="2818" max="2818" width="8.5703125" style="84" customWidth="1"/>
    <col min="2819" max="2819" width="9.85546875" style="84" customWidth="1"/>
    <col min="2820" max="2820" width="10.5703125" style="84" bestFit="1" customWidth="1"/>
    <col min="2821" max="2821" width="10.5703125" style="84" customWidth="1"/>
    <col min="2822" max="2822" width="5.85546875" style="84" customWidth="1"/>
    <col min="2823" max="3072" width="9.140625" style="84"/>
    <col min="3073" max="3073" width="4.42578125" style="84" customWidth="1"/>
    <col min="3074" max="3074" width="8.5703125" style="84" customWidth="1"/>
    <col min="3075" max="3075" width="9.85546875" style="84" customWidth="1"/>
    <col min="3076" max="3076" width="10.5703125" style="84" bestFit="1" customWidth="1"/>
    <col min="3077" max="3077" width="10.5703125" style="84" customWidth="1"/>
    <col min="3078" max="3078" width="5.85546875" style="84" customWidth="1"/>
    <col min="3079" max="3328" width="9.140625" style="84"/>
    <col min="3329" max="3329" width="4.42578125" style="84" customWidth="1"/>
    <col min="3330" max="3330" width="8.5703125" style="84" customWidth="1"/>
    <col min="3331" max="3331" width="9.85546875" style="84" customWidth="1"/>
    <col min="3332" max="3332" width="10.5703125" style="84" bestFit="1" customWidth="1"/>
    <col min="3333" max="3333" width="10.5703125" style="84" customWidth="1"/>
    <col min="3334" max="3334" width="5.85546875" style="84" customWidth="1"/>
    <col min="3335" max="3584" width="9.140625" style="84"/>
    <col min="3585" max="3585" width="4.42578125" style="84" customWidth="1"/>
    <col min="3586" max="3586" width="8.5703125" style="84" customWidth="1"/>
    <col min="3587" max="3587" width="9.85546875" style="84" customWidth="1"/>
    <col min="3588" max="3588" width="10.5703125" style="84" bestFit="1" customWidth="1"/>
    <col min="3589" max="3589" width="10.5703125" style="84" customWidth="1"/>
    <col min="3590" max="3590" width="5.85546875" style="84" customWidth="1"/>
    <col min="3591" max="3840" width="9.140625" style="84"/>
    <col min="3841" max="3841" width="4.42578125" style="84" customWidth="1"/>
    <col min="3842" max="3842" width="8.5703125" style="84" customWidth="1"/>
    <col min="3843" max="3843" width="9.85546875" style="84" customWidth="1"/>
    <col min="3844" max="3844" width="10.5703125" style="84" bestFit="1" customWidth="1"/>
    <col min="3845" max="3845" width="10.5703125" style="84" customWidth="1"/>
    <col min="3846" max="3846" width="5.85546875" style="84" customWidth="1"/>
    <col min="3847" max="4096" width="9.140625" style="84"/>
    <col min="4097" max="4097" width="4.42578125" style="84" customWidth="1"/>
    <col min="4098" max="4098" width="8.5703125" style="84" customWidth="1"/>
    <col min="4099" max="4099" width="9.85546875" style="84" customWidth="1"/>
    <col min="4100" max="4100" width="10.5703125" style="84" bestFit="1" customWidth="1"/>
    <col min="4101" max="4101" width="10.5703125" style="84" customWidth="1"/>
    <col min="4102" max="4102" width="5.85546875" style="84" customWidth="1"/>
    <col min="4103" max="4352" width="9.140625" style="84"/>
    <col min="4353" max="4353" width="4.42578125" style="84" customWidth="1"/>
    <col min="4354" max="4354" width="8.5703125" style="84" customWidth="1"/>
    <col min="4355" max="4355" width="9.85546875" style="84" customWidth="1"/>
    <col min="4356" max="4356" width="10.5703125" style="84" bestFit="1" customWidth="1"/>
    <col min="4357" max="4357" width="10.5703125" style="84" customWidth="1"/>
    <col min="4358" max="4358" width="5.85546875" style="84" customWidth="1"/>
    <col min="4359" max="4608" width="9.140625" style="84"/>
    <col min="4609" max="4609" width="4.42578125" style="84" customWidth="1"/>
    <col min="4610" max="4610" width="8.5703125" style="84" customWidth="1"/>
    <col min="4611" max="4611" width="9.85546875" style="84" customWidth="1"/>
    <col min="4612" max="4612" width="10.5703125" style="84" bestFit="1" customWidth="1"/>
    <col min="4613" max="4613" width="10.5703125" style="84" customWidth="1"/>
    <col min="4614" max="4614" width="5.85546875" style="84" customWidth="1"/>
    <col min="4615" max="4864" width="9.140625" style="84"/>
    <col min="4865" max="4865" width="4.42578125" style="84" customWidth="1"/>
    <col min="4866" max="4866" width="8.5703125" style="84" customWidth="1"/>
    <col min="4867" max="4867" width="9.85546875" style="84" customWidth="1"/>
    <col min="4868" max="4868" width="10.5703125" style="84" bestFit="1" customWidth="1"/>
    <col min="4869" max="4869" width="10.5703125" style="84" customWidth="1"/>
    <col min="4870" max="4870" width="5.85546875" style="84" customWidth="1"/>
    <col min="4871" max="5120" width="9.140625" style="84"/>
    <col min="5121" max="5121" width="4.42578125" style="84" customWidth="1"/>
    <col min="5122" max="5122" width="8.5703125" style="84" customWidth="1"/>
    <col min="5123" max="5123" width="9.85546875" style="84" customWidth="1"/>
    <col min="5124" max="5124" width="10.5703125" style="84" bestFit="1" customWidth="1"/>
    <col min="5125" max="5125" width="10.5703125" style="84" customWidth="1"/>
    <col min="5126" max="5126" width="5.85546875" style="84" customWidth="1"/>
    <col min="5127" max="5376" width="9.140625" style="84"/>
    <col min="5377" max="5377" width="4.42578125" style="84" customWidth="1"/>
    <col min="5378" max="5378" width="8.5703125" style="84" customWidth="1"/>
    <col min="5379" max="5379" width="9.85546875" style="84" customWidth="1"/>
    <col min="5380" max="5380" width="10.5703125" style="84" bestFit="1" customWidth="1"/>
    <col min="5381" max="5381" width="10.5703125" style="84" customWidth="1"/>
    <col min="5382" max="5382" width="5.85546875" style="84" customWidth="1"/>
    <col min="5383" max="5632" width="9.140625" style="84"/>
    <col min="5633" max="5633" width="4.42578125" style="84" customWidth="1"/>
    <col min="5634" max="5634" width="8.5703125" style="84" customWidth="1"/>
    <col min="5635" max="5635" width="9.85546875" style="84" customWidth="1"/>
    <col min="5636" max="5636" width="10.5703125" style="84" bestFit="1" customWidth="1"/>
    <col min="5637" max="5637" width="10.5703125" style="84" customWidth="1"/>
    <col min="5638" max="5638" width="5.85546875" style="84" customWidth="1"/>
    <col min="5639" max="5888" width="9.140625" style="84"/>
    <col min="5889" max="5889" width="4.42578125" style="84" customWidth="1"/>
    <col min="5890" max="5890" width="8.5703125" style="84" customWidth="1"/>
    <col min="5891" max="5891" width="9.85546875" style="84" customWidth="1"/>
    <col min="5892" max="5892" width="10.5703125" style="84" bestFit="1" customWidth="1"/>
    <col min="5893" max="5893" width="10.5703125" style="84" customWidth="1"/>
    <col min="5894" max="5894" width="5.85546875" style="84" customWidth="1"/>
    <col min="5895" max="6144" width="9.140625" style="84"/>
    <col min="6145" max="6145" width="4.42578125" style="84" customWidth="1"/>
    <col min="6146" max="6146" width="8.5703125" style="84" customWidth="1"/>
    <col min="6147" max="6147" width="9.85546875" style="84" customWidth="1"/>
    <col min="6148" max="6148" width="10.5703125" style="84" bestFit="1" customWidth="1"/>
    <col min="6149" max="6149" width="10.5703125" style="84" customWidth="1"/>
    <col min="6150" max="6150" width="5.85546875" style="84" customWidth="1"/>
    <col min="6151" max="6400" width="9.140625" style="84"/>
    <col min="6401" max="6401" width="4.42578125" style="84" customWidth="1"/>
    <col min="6402" max="6402" width="8.5703125" style="84" customWidth="1"/>
    <col min="6403" max="6403" width="9.85546875" style="84" customWidth="1"/>
    <col min="6404" max="6404" width="10.5703125" style="84" bestFit="1" customWidth="1"/>
    <col min="6405" max="6405" width="10.5703125" style="84" customWidth="1"/>
    <col min="6406" max="6406" width="5.85546875" style="84" customWidth="1"/>
    <col min="6407" max="6656" width="9.140625" style="84"/>
    <col min="6657" max="6657" width="4.42578125" style="84" customWidth="1"/>
    <col min="6658" max="6658" width="8.5703125" style="84" customWidth="1"/>
    <col min="6659" max="6659" width="9.85546875" style="84" customWidth="1"/>
    <col min="6660" max="6660" width="10.5703125" style="84" bestFit="1" customWidth="1"/>
    <col min="6661" max="6661" width="10.5703125" style="84" customWidth="1"/>
    <col min="6662" max="6662" width="5.85546875" style="84" customWidth="1"/>
    <col min="6663" max="6912" width="9.140625" style="84"/>
    <col min="6913" max="6913" width="4.42578125" style="84" customWidth="1"/>
    <col min="6914" max="6914" width="8.5703125" style="84" customWidth="1"/>
    <col min="6915" max="6915" width="9.85546875" style="84" customWidth="1"/>
    <col min="6916" max="6916" width="10.5703125" style="84" bestFit="1" customWidth="1"/>
    <col min="6917" max="6917" width="10.5703125" style="84" customWidth="1"/>
    <col min="6918" max="6918" width="5.85546875" style="84" customWidth="1"/>
    <col min="6919" max="7168" width="9.140625" style="84"/>
    <col min="7169" max="7169" width="4.42578125" style="84" customWidth="1"/>
    <col min="7170" max="7170" width="8.5703125" style="84" customWidth="1"/>
    <col min="7171" max="7171" width="9.85546875" style="84" customWidth="1"/>
    <col min="7172" max="7172" width="10.5703125" style="84" bestFit="1" customWidth="1"/>
    <col min="7173" max="7173" width="10.5703125" style="84" customWidth="1"/>
    <col min="7174" max="7174" width="5.85546875" style="84" customWidth="1"/>
    <col min="7175" max="7424" width="9.140625" style="84"/>
    <col min="7425" max="7425" width="4.42578125" style="84" customWidth="1"/>
    <col min="7426" max="7426" width="8.5703125" style="84" customWidth="1"/>
    <col min="7427" max="7427" width="9.85546875" style="84" customWidth="1"/>
    <col min="7428" max="7428" width="10.5703125" style="84" bestFit="1" customWidth="1"/>
    <col min="7429" max="7429" width="10.5703125" style="84" customWidth="1"/>
    <col min="7430" max="7430" width="5.85546875" style="84" customWidth="1"/>
    <col min="7431" max="7680" width="9.140625" style="84"/>
    <col min="7681" max="7681" width="4.42578125" style="84" customWidth="1"/>
    <col min="7682" max="7682" width="8.5703125" style="84" customWidth="1"/>
    <col min="7683" max="7683" width="9.85546875" style="84" customWidth="1"/>
    <col min="7684" max="7684" width="10.5703125" style="84" bestFit="1" customWidth="1"/>
    <col min="7685" max="7685" width="10.5703125" style="84" customWidth="1"/>
    <col min="7686" max="7686" width="5.85546875" style="84" customWidth="1"/>
    <col min="7687" max="7936" width="9.140625" style="84"/>
    <col min="7937" max="7937" width="4.42578125" style="84" customWidth="1"/>
    <col min="7938" max="7938" width="8.5703125" style="84" customWidth="1"/>
    <col min="7939" max="7939" width="9.85546875" style="84" customWidth="1"/>
    <col min="7940" max="7940" width="10.5703125" style="84" bestFit="1" customWidth="1"/>
    <col min="7941" max="7941" width="10.5703125" style="84" customWidth="1"/>
    <col min="7942" max="7942" width="5.85546875" style="84" customWidth="1"/>
    <col min="7943" max="8192" width="9.140625" style="84"/>
    <col min="8193" max="8193" width="4.42578125" style="84" customWidth="1"/>
    <col min="8194" max="8194" width="8.5703125" style="84" customWidth="1"/>
    <col min="8195" max="8195" width="9.85546875" style="84" customWidth="1"/>
    <col min="8196" max="8196" width="10.5703125" style="84" bestFit="1" customWidth="1"/>
    <col min="8197" max="8197" width="10.5703125" style="84" customWidth="1"/>
    <col min="8198" max="8198" width="5.85546875" style="84" customWidth="1"/>
    <col min="8199" max="8448" width="9.140625" style="84"/>
    <col min="8449" max="8449" width="4.42578125" style="84" customWidth="1"/>
    <col min="8450" max="8450" width="8.5703125" style="84" customWidth="1"/>
    <col min="8451" max="8451" width="9.85546875" style="84" customWidth="1"/>
    <col min="8452" max="8452" width="10.5703125" style="84" bestFit="1" customWidth="1"/>
    <col min="8453" max="8453" width="10.5703125" style="84" customWidth="1"/>
    <col min="8454" max="8454" width="5.85546875" style="84" customWidth="1"/>
    <col min="8455" max="8704" width="9.140625" style="84"/>
    <col min="8705" max="8705" width="4.42578125" style="84" customWidth="1"/>
    <col min="8706" max="8706" width="8.5703125" style="84" customWidth="1"/>
    <col min="8707" max="8707" width="9.85546875" style="84" customWidth="1"/>
    <col min="8708" max="8708" width="10.5703125" style="84" bestFit="1" customWidth="1"/>
    <col min="8709" max="8709" width="10.5703125" style="84" customWidth="1"/>
    <col min="8710" max="8710" width="5.85546875" style="84" customWidth="1"/>
    <col min="8711" max="8960" width="9.140625" style="84"/>
    <col min="8961" max="8961" width="4.42578125" style="84" customWidth="1"/>
    <col min="8962" max="8962" width="8.5703125" style="84" customWidth="1"/>
    <col min="8963" max="8963" width="9.85546875" style="84" customWidth="1"/>
    <col min="8964" max="8964" width="10.5703125" style="84" bestFit="1" customWidth="1"/>
    <col min="8965" max="8965" width="10.5703125" style="84" customWidth="1"/>
    <col min="8966" max="8966" width="5.85546875" style="84" customWidth="1"/>
    <col min="8967" max="9216" width="9.140625" style="84"/>
    <col min="9217" max="9217" width="4.42578125" style="84" customWidth="1"/>
    <col min="9218" max="9218" width="8.5703125" style="84" customWidth="1"/>
    <col min="9219" max="9219" width="9.85546875" style="84" customWidth="1"/>
    <col min="9220" max="9220" width="10.5703125" style="84" bestFit="1" customWidth="1"/>
    <col min="9221" max="9221" width="10.5703125" style="84" customWidth="1"/>
    <col min="9222" max="9222" width="5.85546875" style="84" customWidth="1"/>
    <col min="9223" max="9472" width="9.140625" style="84"/>
    <col min="9473" max="9473" width="4.42578125" style="84" customWidth="1"/>
    <col min="9474" max="9474" width="8.5703125" style="84" customWidth="1"/>
    <col min="9475" max="9475" width="9.85546875" style="84" customWidth="1"/>
    <col min="9476" max="9476" width="10.5703125" style="84" bestFit="1" customWidth="1"/>
    <col min="9477" max="9477" width="10.5703125" style="84" customWidth="1"/>
    <col min="9478" max="9478" width="5.85546875" style="84" customWidth="1"/>
    <col min="9479" max="9728" width="9.140625" style="84"/>
    <col min="9729" max="9729" width="4.42578125" style="84" customWidth="1"/>
    <col min="9730" max="9730" width="8.5703125" style="84" customWidth="1"/>
    <col min="9731" max="9731" width="9.85546875" style="84" customWidth="1"/>
    <col min="9732" max="9732" width="10.5703125" style="84" bestFit="1" customWidth="1"/>
    <col min="9733" max="9733" width="10.5703125" style="84" customWidth="1"/>
    <col min="9734" max="9734" width="5.85546875" style="84" customWidth="1"/>
    <col min="9735" max="9984" width="9.140625" style="84"/>
    <col min="9985" max="9985" width="4.42578125" style="84" customWidth="1"/>
    <col min="9986" max="9986" width="8.5703125" style="84" customWidth="1"/>
    <col min="9987" max="9987" width="9.85546875" style="84" customWidth="1"/>
    <col min="9988" max="9988" width="10.5703125" style="84" bestFit="1" customWidth="1"/>
    <col min="9989" max="9989" width="10.5703125" style="84" customWidth="1"/>
    <col min="9990" max="9990" width="5.85546875" style="84" customWidth="1"/>
    <col min="9991" max="10240" width="9.140625" style="84"/>
    <col min="10241" max="10241" width="4.42578125" style="84" customWidth="1"/>
    <col min="10242" max="10242" width="8.5703125" style="84" customWidth="1"/>
    <col min="10243" max="10243" width="9.85546875" style="84" customWidth="1"/>
    <col min="10244" max="10244" width="10.5703125" style="84" bestFit="1" customWidth="1"/>
    <col min="10245" max="10245" width="10.5703125" style="84" customWidth="1"/>
    <col min="10246" max="10246" width="5.85546875" style="84" customWidth="1"/>
    <col min="10247" max="10496" width="9.140625" style="84"/>
    <col min="10497" max="10497" width="4.42578125" style="84" customWidth="1"/>
    <col min="10498" max="10498" width="8.5703125" style="84" customWidth="1"/>
    <col min="10499" max="10499" width="9.85546875" style="84" customWidth="1"/>
    <col min="10500" max="10500" width="10.5703125" style="84" bestFit="1" customWidth="1"/>
    <col min="10501" max="10501" width="10.5703125" style="84" customWidth="1"/>
    <col min="10502" max="10502" width="5.85546875" style="84" customWidth="1"/>
    <col min="10503" max="10752" width="9.140625" style="84"/>
    <col min="10753" max="10753" width="4.42578125" style="84" customWidth="1"/>
    <col min="10754" max="10754" width="8.5703125" style="84" customWidth="1"/>
    <col min="10755" max="10755" width="9.85546875" style="84" customWidth="1"/>
    <col min="10756" max="10756" width="10.5703125" style="84" bestFit="1" customWidth="1"/>
    <col min="10757" max="10757" width="10.5703125" style="84" customWidth="1"/>
    <col min="10758" max="10758" width="5.85546875" style="84" customWidth="1"/>
    <col min="10759" max="11008" width="9.140625" style="84"/>
    <col min="11009" max="11009" width="4.42578125" style="84" customWidth="1"/>
    <col min="11010" max="11010" width="8.5703125" style="84" customWidth="1"/>
    <col min="11011" max="11011" width="9.85546875" style="84" customWidth="1"/>
    <col min="11012" max="11012" width="10.5703125" style="84" bestFit="1" customWidth="1"/>
    <col min="11013" max="11013" width="10.5703125" style="84" customWidth="1"/>
    <col min="11014" max="11014" width="5.85546875" style="84" customWidth="1"/>
    <col min="11015" max="11264" width="9.140625" style="84"/>
    <col min="11265" max="11265" width="4.42578125" style="84" customWidth="1"/>
    <col min="11266" max="11266" width="8.5703125" style="84" customWidth="1"/>
    <col min="11267" max="11267" width="9.85546875" style="84" customWidth="1"/>
    <col min="11268" max="11268" width="10.5703125" style="84" bestFit="1" customWidth="1"/>
    <col min="11269" max="11269" width="10.5703125" style="84" customWidth="1"/>
    <col min="11270" max="11270" width="5.85546875" style="84" customWidth="1"/>
    <col min="11271" max="11520" width="9.140625" style="84"/>
    <col min="11521" max="11521" width="4.42578125" style="84" customWidth="1"/>
    <col min="11522" max="11522" width="8.5703125" style="84" customWidth="1"/>
    <col min="11523" max="11523" width="9.85546875" style="84" customWidth="1"/>
    <col min="11524" max="11524" width="10.5703125" style="84" bestFit="1" customWidth="1"/>
    <col min="11525" max="11525" width="10.5703125" style="84" customWidth="1"/>
    <col min="11526" max="11526" width="5.85546875" style="84" customWidth="1"/>
    <col min="11527" max="11776" width="9.140625" style="84"/>
    <col min="11777" max="11777" width="4.42578125" style="84" customWidth="1"/>
    <col min="11778" max="11778" width="8.5703125" style="84" customWidth="1"/>
    <col min="11779" max="11779" width="9.85546875" style="84" customWidth="1"/>
    <col min="11780" max="11780" width="10.5703125" style="84" bestFit="1" customWidth="1"/>
    <col min="11781" max="11781" width="10.5703125" style="84" customWidth="1"/>
    <col min="11782" max="11782" width="5.85546875" style="84" customWidth="1"/>
    <col min="11783" max="12032" width="9.140625" style="84"/>
    <col min="12033" max="12033" width="4.42578125" style="84" customWidth="1"/>
    <col min="12034" max="12034" width="8.5703125" style="84" customWidth="1"/>
    <col min="12035" max="12035" width="9.85546875" style="84" customWidth="1"/>
    <col min="12036" max="12036" width="10.5703125" style="84" bestFit="1" customWidth="1"/>
    <col min="12037" max="12037" width="10.5703125" style="84" customWidth="1"/>
    <col min="12038" max="12038" width="5.85546875" style="84" customWidth="1"/>
    <col min="12039" max="12288" width="9.140625" style="84"/>
    <col min="12289" max="12289" width="4.42578125" style="84" customWidth="1"/>
    <col min="12290" max="12290" width="8.5703125" style="84" customWidth="1"/>
    <col min="12291" max="12291" width="9.85546875" style="84" customWidth="1"/>
    <col min="12292" max="12292" width="10.5703125" style="84" bestFit="1" customWidth="1"/>
    <col min="12293" max="12293" width="10.5703125" style="84" customWidth="1"/>
    <col min="12294" max="12294" width="5.85546875" style="84" customWidth="1"/>
    <col min="12295" max="12544" width="9.140625" style="84"/>
    <col min="12545" max="12545" width="4.42578125" style="84" customWidth="1"/>
    <col min="12546" max="12546" width="8.5703125" style="84" customWidth="1"/>
    <col min="12547" max="12547" width="9.85546875" style="84" customWidth="1"/>
    <col min="12548" max="12548" width="10.5703125" style="84" bestFit="1" customWidth="1"/>
    <col min="12549" max="12549" width="10.5703125" style="84" customWidth="1"/>
    <col min="12550" max="12550" width="5.85546875" style="84" customWidth="1"/>
    <col min="12551" max="12800" width="9.140625" style="84"/>
    <col min="12801" max="12801" width="4.42578125" style="84" customWidth="1"/>
    <col min="12802" max="12802" width="8.5703125" style="84" customWidth="1"/>
    <col min="12803" max="12803" width="9.85546875" style="84" customWidth="1"/>
    <col min="12804" max="12804" width="10.5703125" style="84" bestFit="1" customWidth="1"/>
    <col min="12805" max="12805" width="10.5703125" style="84" customWidth="1"/>
    <col min="12806" max="12806" width="5.85546875" style="84" customWidth="1"/>
    <col min="12807" max="13056" width="9.140625" style="84"/>
    <col min="13057" max="13057" width="4.42578125" style="84" customWidth="1"/>
    <col min="13058" max="13058" width="8.5703125" style="84" customWidth="1"/>
    <col min="13059" max="13059" width="9.85546875" style="84" customWidth="1"/>
    <col min="13060" max="13060" width="10.5703125" style="84" bestFit="1" customWidth="1"/>
    <col min="13061" max="13061" width="10.5703125" style="84" customWidth="1"/>
    <col min="13062" max="13062" width="5.85546875" style="84" customWidth="1"/>
    <col min="13063" max="13312" width="9.140625" style="84"/>
    <col min="13313" max="13313" width="4.42578125" style="84" customWidth="1"/>
    <col min="13314" max="13314" width="8.5703125" style="84" customWidth="1"/>
    <col min="13315" max="13315" width="9.85546875" style="84" customWidth="1"/>
    <col min="13316" max="13316" width="10.5703125" style="84" bestFit="1" customWidth="1"/>
    <col min="13317" max="13317" width="10.5703125" style="84" customWidth="1"/>
    <col min="13318" max="13318" width="5.85546875" style="84" customWidth="1"/>
    <col min="13319" max="13568" width="9.140625" style="84"/>
    <col min="13569" max="13569" width="4.42578125" style="84" customWidth="1"/>
    <col min="13570" max="13570" width="8.5703125" style="84" customWidth="1"/>
    <col min="13571" max="13571" width="9.85546875" style="84" customWidth="1"/>
    <col min="13572" max="13572" width="10.5703125" style="84" bestFit="1" customWidth="1"/>
    <col min="13573" max="13573" width="10.5703125" style="84" customWidth="1"/>
    <col min="13574" max="13574" width="5.85546875" style="84" customWidth="1"/>
    <col min="13575" max="13824" width="9.140625" style="84"/>
    <col min="13825" max="13825" width="4.42578125" style="84" customWidth="1"/>
    <col min="13826" max="13826" width="8.5703125" style="84" customWidth="1"/>
    <col min="13827" max="13827" width="9.85546875" style="84" customWidth="1"/>
    <col min="13828" max="13828" width="10.5703125" style="84" bestFit="1" customWidth="1"/>
    <col min="13829" max="13829" width="10.5703125" style="84" customWidth="1"/>
    <col min="13830" max="13830" width="5.85546875" style="84" customWidth="1"/>
    <col min="13831" max="14080" width="9.140625" style="84"/>
    <col min="14081" max="14081" width="4.42578125" style="84" customWidth="1"/>
    <col min="14082" max="14082" width="8.5703125" style="84" customWidth="1"/>
    <col min="14083" max="14083" width="9.85546875" style="84" customWidth="1"/>
    <col min="14084" max="14084" width="10.5703125" style="84" bestFit="1" customWidth="1"/>
    <col min="14085" max="14085" width="10.5703125" style="84" customWidth="1"/>
    <col min="14086" max="14086" width="5.85546875" style="84" customWidth="1"/>
    <col min="14087" max="14336" width="9.140625" style="84"/>
    <col min="14337" max="14337" width="4.42578125" style="84" customWidth="1"/>
    <col min="14338" max="14338" width="8.5703125" style="84" customWidth="1"/>
    <col min="14339" max="14339" width="9.85546875" style="84" customWidth="1"/>
    <col min="14340" max="14340" width="10.5703125" style="84" bestFit="1" customWidth="1"/>
    <col min="14341" max="14341" width="10.5703125" style="84" customWidth="1"/>
    <col min="14342" max="14342" width="5.85546875" style="84" customWidth="1"/>
    <col min="14343" max="14592" width="9.140625" style="84"/>
    <col min="14593" max="14593" width="4.42578125" style="84" customWidth="1"/>
    <col min="14594" max="14594" width="8.5703125" style="84" customWidth="1"/>
    <col min="14595" max="14595" width="9.85546875" style="84" customWidth="1"/>
    <col min="14596" max="14596" width="10.5703125" style="84" bestFit="1" customWidth="1"/>
    <col min="14597" max="14597" width="10.5703125" style="84" customWidth="1"/>
    <col min="14598" max="14598" width="5.85546875" style="84" customWidth="1"/>
    <col min="14599" max="14848" width="9.140625" style="84"/>
    <col min="14849" max="14849" width="4.42578125" style="84" customWidth="1"/>
    <col min="14850" max="14850" width="8.5703125" style="84" customWidth="1"/>
    <col min="14851" max="14851" width="9.85546875" style="84" customWidth="1"/>
    <col min="14852" max="14852" width="10.5703125" style="84" bestFit="1" customWidth="1"/>
    <col min="14853" max="14853" width="10.5703125" style="84" customWidth="1"/>
    <col min="14854" max="14854" width="5.85546875" style="84" customWidth="1"/>
    <col min="14855" max="15104" width="9.140625" style="84"/>
    <col min="15105" max="15105" width="4.42578125" style="84" customWidth="1"/>
    <col min="15106" max="15106" width="8.5703125" style="84" customWidth="1"/>
    <col min="15107" max="15107" width="9.85546875" style="84" customWidth="1"/>
    <col min="15108" max="15108" width="10.5703125" style="84" bestFit="1" customWidth="1"/>
    <col min="15109" max="15109" width="10.5703125" style="84" customWidth="1"/>
    <col min="15110" max="15110" width="5.85546875" style="84" customWidth="1"/>
    <col min="15111" max="15360" width="9.140625" style="84"/>
    <col min="15361" max="15361" width="4.42578125" style="84" customWidth="1"/>
    <col min="15362" max="15362" width="8.5703125" style="84" customWidth="1"/>
    <col min="15363" max="15363" width="9.85546875" style="84" customWidth="1"/>
    <col min="15364" max="15364" width="10.5703125" style="84" bestFit="1" customWidth="1"/>
    <col min="15365" max="15365" width="10.5703125" style="84" customWidth="1"/>
    <col min="15366" max="15366" width="5.85546875" style="84" customWidth="1"/>
    <col min="15367" max="15616" width="9.140625" style="84"/>
    <col min="15617" max="15617" width="4.42578125" style="84" customWidth="1"/>
    <col min="15618" max="15618" width="8.5703125" style="84" customWidth="1"/>
    <col min="15619" max="15619" width="9.85546875" style="84" customWidth="1"/>
    <col min="15620" max="15620" width="10.5703125" style="84" bestFit="1" customWidth="1"/>
    <col min="15621" max="15621" width="10.5703125" style="84" customWidth="1"/>
    <col min="15622" max="15622" width="5.85546875" style="84" customWidth="1"/>
    <col min="15623" max="15872" width="9.140625" style="84"/>
    <col min="15873" max="15873" width="4.42578125" style="84" customWidth="1"/>
    <col min="15874" max="15874" width="8.5703125" style="84" customWidth="1"/>
    <col min="15875" max="15875" width="9.85546875" style="84" customWidth="1"/>
    <col min="15876" max="15876" width="10.5703125" style="84" bestFit="1" customWidth="1"/>
    <col min="15877" max="15877" width="10.5703125" style="84" customWidth="1"/>
    <col min="15878" max="15878" width="5.85546875" style="84" customWidth="1"/>
    <col min="15879" max="16128" width="9.140625" style="84"/>
    <col min="16129" max="16129" width="4.42578125" style="84" customWidth="1"/>
    <col min="16130" max="16130" width="8.5703125" style="84" customWidth="1"/>
    <col min="16131" max="16131" width="9.85546875" style="84" customWidth="1"/>
    <col min="16132" max="16132" width="10.5703125" style="84" bestFit="1" customWidth="1"/>
    <col min="16133" max="16133" width="10.5703125" style="84" customWidth="1"/>
    <col min="16134" max="16134" width="5.85546875" style="84" customWidth="1"/>
    <col min="16135" max="16384" width="9.140625" style="84"/>
  </cols>
  <sheetData>
    <row r="3" spans="1:6" x14ac:dyDescent="0.25">
      <c r="D3" s="85"/>
      <c r="E3" s="85"/>
    </row>
    <row r="5" spans="1:6" x14ac:dyDescent="0.25">
      <c r="D5" s="86" t="s">
        <v>66</v>
      </c>
    </row>
    <row r="6" spans="1:6" x14ac:dyDescent="0.25">
      <c r="D6" s="87">
        <f>MAX(D9:D32)</f>
        <v>2.2200000000000002</v>
      </c>
    </row>
    <row r="7" spans="1:6" ht="30" x14ac:dyDescent="0.25">
      <c r="A7" s="86" t="s">
        <v>67</v>
      </c>
      <c r="B7" s="86" t="s">
        <v>68</v>
      </c>
      <c r="C7" s="86" t="s">
        <v>69</v>
      </c>
      <c r="D7" s="86" t="s">
        <v>70</v>
      </c>
      <c r="E7" s="88" t="s">
        <v>71</v>
      </c>
      <c r="F7" s="86" t="s">
        <v>72</v>
      </c>
    </row>
    <row r="9" spans="1:6" x14ac:dyDescent="0.25">
      <c r="A9" s="84">
        <v>0</v>
      </c>
      <c r="B9" s="89">
        <v>-1000</v>
      </c>
      <c r="C9" s="90">
        <f>IF(B9&gt;-999,B9,C8)</f>
        <v>0</v>
      </c>
      <c r="D9" s="90">
        <f>C9</f>
        <v>0</v>
      </c>
      <c r="E9" s="90">
        <f t="shared" ref="E9:E32" si="0">D9-$D$6</f>
        <v>-2.2200000000000002</v>
      </c>
      <c r="F9" s="91">
        <f>IF(B9=-1000,0,EXP(E9))</f>
        <v>0</v>
      </c>
    </row>
    <row r="10" spans="1:6" x14ac:dyDescent="0.25">
      <c r="A10" s="84">
        <v>1</v>
      </c>
      <c r="B10" s="89">
        <v>-1000</v>
      </c>
      <c r="C10" s="90">
        <f t="shared" ref="C10:C32" si="1">IF(B10&gt;-999,B10,C9)</f>
        <v>0</v>
      </c>
      <c r="D10" s="90">
        <f>D9+C10</f>
        <v>0</v>
      </c>
      <c r="E10" s="90">
        <f t="shared" si="0"/>
        <v>-2.2200000000000002</v>
      </c>
      <c r="F10" s="91">
        <f t="shared" ref="F10:F32" si="2">IF(B10=-1000,0,EXP(E10))</f>
        <v>0</v>
      </c>
    </row>
    <row r="11" spans="1:6" x14ac:dyDescent="0.25">
      <c r="A11" s="84">
        <v>2</v>
      </c>
      <c r="B11" s="89">
        <v>0</v>
      </c>
      <c r="C11" s="90">
        <f t="shared" si="1"/>
        <v>0</v>
      </c>
      <c r="D11" s="90">
        <f t="shared" ref="D11:D32" si="3">D10+C11</f>
        <v>0</v>
      </c>
      <c r="E11" s="90">
        <f t="shared" si="0"/>
        <v>-2.2200000000000002</v>
      </c>
      <c r="F11" s="91">
        <f t="shared" si="2"/>
        <v>0.10860910882495796</v>
      </c>
    </row>
    <row r="12" spans="1:6" x14ac:dyDescent="0.25">
      <c r="A12" s="84">
        <v>3</v>
      </c>
      <c r="B12" s="89">
        <v>0.5</v>
      </c>
      <c r="C12" s="90">
        <f t="shared" si="1"/>
        <v>0.5</v>
      </c>
      <c r="D12" s="90">
        <f t="shared" si="3"/>
        <v>0.5</v>
      </c>
      <c r="E12" s="90">
        <f t="shared" si="0"/>
        <v>-1.7200000000000002</v>
      </c>
      <c r="F12" s="91">
        <f t="shared" si="2"/>
        <v>0.1790661479114932</v>
      </c>
    </row>
    <row r="13" spans="1:6" x14ac:dyDescent="0.25">
      <c r="A13" s="84">
        <v>4</v>
      </c>
      <c r="B13" s="89">
        <v>-999</v>
      </c>
      <c r="C13" s="90">
        <f t="shared" si="1"/>
        <v>0.5</v>
      </c>
      <c r="D13" s="90">
        <f t="shared" si="3"/>
        <v>1</v>
      </c>
      <c r="E13" s="90">
        <f t="shared" si="0"/>
        <v>-1.2200000000000002</v>
      </c>
      <c r="F13" s="91">
        <f t="shared" si="2"/>
        <v>0.29523016692401416</v>
      </c>
    </row>
    <row r="14" spans="1:6" x14ac:dyDescent="0.25">
      <c r="A14" s="84">
        <v>5</v>
      </c>
      <c r="B14" s="89">
        <v>-999</v>
      </c>
      <c r="C14" s="90">
        <f t="shared" si="1"/>
        <v>0.5</v>
      </c>
      <c r="D14" s="90">
        <f t="shared" si="3"/>
        <v>1.5</v>
      </c>
      <c r="E14" s="90">
        <f t="shared" si="0"/>
        <v>-0.7200000000000002</v>
      </c>
      <c r="F14" s="91">
        <f t="shared" si="2"/>
        <v>0.48675225595997157</v>
      </c>
    </row>
    <row r="15" spans="1:6" x14ac:dyDescent="0.25">
      <c r="A15" s="84">
        <v>6</v>
      </c>
      <c r="B15" s="89">
        <v>0.2</v>
      </c>
      <c r="C15" s="90">
        <f t="shared" si="1"/>
        <v>0.2</v>
      </c>
      <c r="D15" s="90">
        <f t="shared" si="3"/>
        <v>1.7</v>
      </c>
      <c r="E15" s="90">
        <f t="shared" si="0"/>
        <v>-0.52000000000000024</v>
      </c>
      <c r="F15" s="91">
        <f t="shared" si="2"/>
        <v>0.59452054797019416</v>
      </c>
    </row>
    <row r="16" spans="1:6" x14ac:dyDescent="0.25">
      <c r="A16" s="84">
        <v>7</v>
      </c>
      <c r="B16" s="89">
        <v>0.2</v>
      </c>
      <c r="C16" s="90">
        <f t="shared" si="1"/>
        <v>0.2</v>
      </c>
      <c r="D16" s="90">
        <f t="shared" si="3"/>
        <v>1.9</v>
      </c>
      <c r="E16" s="90">
        <f t="shared" si="0"/>
        <v>-0.32000000000000028</v>
      </c>
      <c r="F16" s="91">
        <f t="shared" si="2"/>
        <v>0.72614903707369072</v>
      </c>
    </row>
    <row r="17" spans="1:8" x14ac:dyDescent="0.25">
      <c r="A17" s="84">
        <v>8</v>
      </c>
      <c r="B17" s="89">
        <v>0.2</v>
      </c>
      <c r="C17" s="90">
        <f t="shared" si="1"/>
        <v>0.2</v>
      </c>
      <c r="D17" s="90">
        <f t="shared" si="3"/>
        <v>2.1</v>
      </c>
      <c r="E17" s="90">
        <f t="shared" si="0"/>
        <v>-0.12000000000000011</v>
      </c>
      <c r="F17" s="91">
        <f t="shared" si="2"/>
        <v>0.88692043671715737</v>
      </c>
    </row>
    <row r="18" spans="1:8" x14ac:dyDescent="0.25">
      <c r="A18" s="84">
        <v>9</v>
      </c>
      <c r="B18" s="89">
        <v>0.1</v>
      </c>
      <c r="C18" s="90">
        <f t="shared" si="1"/>
        <v>0.1</v>
      </c>
      <c r="D18" s="90">
        <f t="shared" si="3"/>
        <v>2.2000000000000002</v>
      </c>
      <c r="E18" s="90">
        <f t="shared" si="0"/>
        <v>-2.0000000000000018E-2</v>
      </c>
      <c r="F18" s="91">
        <f t="shared" si="2"/>
        <v>0.98019867330675525</v>
      </c>
    </row>
    <row r="19" spans="1:8" x14ac:dyDescent="0.25">
      <c r="A19" s="84">
        <v>10</v>
      </c>
      <c r="B19" s="89">
        <v>0.02</v>
      </c>
      <c r="C19" s="90">
        <f t="shared" si="1"/>
        <v>0.02</v>
      </c>
      <c r="D19" s="90">
        <f t="shared" si="3"/>
        <v>2.2200000000000002</v>
      </c>
      <c r="E19" s="90">
        <f t="shared" si="0"/>
        <v>0</v>
      </c>
      <c r="F19" s="91">
        <f t="shared" si="2"/>
        <v>1</v>
      </c>
    </row>
    <row r="20" spans="1:8" x14ac:dyDescent="0.25">
      <c r="A20" s="84">
        <v>11</v>
      </c>
      <c r="B20" s="89">
        <v>0</v>
      </c>
      <c r="C20" s="90">
        <f t="shared" si="1"/>
        <v>0</v>
      </c>
      <c r="D20" s="90">
        <f t="shared" si="3"/>
        <v>2.2200000000000002</v>
      </c>
      <c r="E20" s="90">
        <f t="shared" si="0"/>
        <v>0</v>
      </c>
      <c r="F20" s="91">
        <f t="shared" si="2"/>
        <v>1</v>
      </c>
    </row>
    <row r="21" spans="1:8" x14ac:dyDescent="0.25">
      <c r="A21" s="84">
        <v>12</v>
      </c>
      <c r="B21" s="89">
        <v>0</v>
      </c>
      <c r="C21" s="90">
        <f t="shared" si="1"/>
        <v>0</v>
      </c>
      <c r="D21" s="90">
        <f t="shared" si="3"/>
        <v>2.2200000000000002</v>
      </c>
      <c r="E21" s="90">
        <f t="shared" si="0"/>
        <v>0</v>
      </c>
      <c r="F21" s="91">
        <f t="shared" si="2"/>
        <v>1</v>
      </c>
    </row>
    <row r="22" spans="1:8" x14ac:dyDescent="0.25">
      <c r="A22" s="84">
        <v>13</v>
      </c>
      <c r="B22" s="89">
        <v>0</v>
      </c>
      <c r="C22" s="90">
        <f t="shared" si="1"/>
        <v>0</v>
      </c>
      <c r="D22" s="90">
        <f t="shared" si="3"/>
        <v>2.2200000000000002</v>
      </c>
      <c r="E22" s="90">
        <f t="shared" si="0"/>
        <v>0</v>
      </c>
      <c r="F22" s="91">
        <f t="shared" si="2"/>
        <v>1</v>
      </c>
    </row>
    <row r="23" spans="1:8" x14ac:dyDescent="0.25">
      <c r="A23" s="84">
        <v>14</v>
      </c>
      <c r="B23" s="89">
        <v>-0.1</v>
      </c>
      <c r="C23" s="90">
        <f t="shared" si="1"/>
        <v>-0.1</v>
      </c>
      <c r="D23" s="90">
        <f t="shared" si="3"/>
        <v>2.12</v>
      </c>
      <c r="E23" s="90">
        <f t="shared" si="0"/>
        <v>-0.10000000000000009</v>
      </c>
      <c r="F23" s="91">
        <f t="shared" si="2"/>
        <v>0.90483741803595952</v>
      </c>
    </row>
    <row r="24" spans="1:8" x14ac:dyDescent="0.25">
      <c r="A24" s="84">
        <v>15</v>
      </c>
      <c r="B24" s="89">
        <v>-0.2</v>
      </c>
      <c r="C24" s="90">
        <f t="shared" si="1"/>
        <v>-0.2</v>
      </c>
      <c r="D24" s="90">
        <f t="shared" si="3"/>
        <v>1.9200000000000002</v>
      </c>
      <c r="E24" s="90">
        <f t="shared" si="0"/>
        <v>-0.30000000000000004</v>
      </c>
      <c r="F24" s="91">
        <f t="shared" si="2"/>
        <v>0.74081822068171788</v>
      </c>
    </row>
    <row r="25" spans="1:8" x14ac:dyDescent="0.25">
      <c r="A25" s="84">
        <v>16</v>
      </c>
      <c r="B25" s="89">
        <v>-0.2</v>
      </c>
      <c r="C25" s="90">
        <f t="shared" si="1"/>
        <v>-0.2</v>
      </c>
      <c r="D25" s="90">
        <f t="shared" si="3"/>
        <v>1.7200000000000002</v>
      </c>
      <c r="E25" s="90">
        <f t="shared" si="0"/>
        <v>-0.5</v>
      </c>
      <c r="F25" s="91">
        <f t="shared" si="2"/>
        <v>0.60653065971263342</v>
      </c>
      <c r="H25" s="84" t="s">
        <v>73</v>
      </c>
    </row>
    <row r="26" spans="1:8" x14ac:dyDescent="0.25">
      <c r="A26" s="84">
        <v>17</v>
      </c>
      <c r="B26" s="89">
        <v>-0.2</v>
      </c>
      <c r="C26" s="90">
        <f t="shared" si="1"/>
        <v>-0.2</v>
      </c>
      <c r="D26" s="90">
        <f t="shared" si="3"/>
        <v>1.5200000000000002</v>
      </c>
      <c r="E26" s="90">
        <f t="shared" si="0"/>
        <v>-0.7</v>
      </c>
      <c r="F26" s="91">
        <f t="shared" si="2"/>
        <v>0.49658530379140953</v>
      </c>
      <c r="H26" s="84" t="s">
        <v>74</v>
      </c>
    </row>
    <row r="27" spans="1:8" x14ac:dyDescent="0.25">
      <c r="A27" s="84">
        <v>18</v>
      </c>
      <c r="B27" s="89">
        <v>-0.4</v>
      </c>
      <c r="C27" s="90">
        <f t="shared" si="1"/>
        <v>-0.4</v>
      </c>
      <c r="D27" s="90">
        <f t="shared" si="3"/>
        <v>1.1200000000000001</v>
      </c>
      <c r="E27" s="90">
        <f t="shared" si="0"/>
        <v>-1.1000000000000001</v>
      </c>
      <c r="F27" s="91">
        <f t="shared" si="2"/>
        <v>0.33287108369807955</v>
      </c>
      <c r="H27" s="84" t="s">
        <v>75</v>
      </c>
    </row>
    <row r="28" spans="1:8" x14ac:dyDescent="0.25">
      <c r="A28" s="84">
        <v>19</v>
      </c>
      <c r="B28" s="89">
        <v>-999</v>
      </c>
      <c r="C28" s="90">
        <f t="shared" si="1"/>
        <v>-0.4</v>
      </c>
      <c r="D28" s="90">
        <f t="shared" si="3"/>
        <v>0.72000000000000008</v>
      </c>
      <c r="E28" s="90">
        <f t="shared" si="0"/>
        <v>-1.5</v>
      </c>
      <c r="F28" s="91">
        <f t="shared" si="2"/>
        <v>0.22313016014842982</v>
      </c>
      <c r="H28" s="84" t="s">
        <v>76</v>
      </c>
    </row>
    <row r="29" spans="1:8" x14ac:dyDescent="0.25">
      <c r="A29" s="84">
        <v>20</v>
      </c>
      <c r="B29" s="89">
        <v>-999</v>
      </c>
      <c r="C29" s="90">
        <f t="shared" si="1"/>
        <v>-0.4</v>
      </c>
      <c r="D29" s="90">
        <f t="shared" si="3"/>
        <v>0.32000000000000006</v>
      </c>
      <c r="E29" s="90">
        <f t="shared" si="0"/>
        <v>-1.9000000000000001</v>
      </c>
      <c r="F29" s="91">
        <f t="shared" si="2"/>
        <v>0.14956861922263504</v>
      </c>
    </row>
    <row r="30" spans="1:8" x14ac:dyDescent="0.25">
      <c r="A30" s="84">
        <v>21</v>
      </c>
      <c r="B30" s="89">
        <v>0</v>
      </c>
      <c r="C30" s="90">
        <f t="shared" si="1"/>
        <v>0</v>
      </c>
      <c r="D30" s="90">
        <f t="shared" si="3"/>
        <v>0.32000000000000006</v>
      </c>
      <c r="E30" s="90">
        <f t="shared" si="0"/>
        <v>-1.9000000000000001</v>
      </c>
      <c r="F30" s="91">
        <f t="shared" si="2"/>
        <v>0.14956861922263504</v>
      </c>
    </row>
    <row r="31" spans="1:8" x14ac:dyDescent="0.25">
      <c r="A31" s="84">
        <v>22</v>
      </c>
      <c r="B31" s="89">
        <v>-999</v>
      </c>
      <c r="C31" s="90">
        <f t="shared" si="1"/>
        <v>0</v>
      </c>
      <c r="D31" s="90">
        <f t="shared" si="3"/>
        <v>0.32000000000000006</v>
      </c>
      <c r="E31" s="90">
        <f t="shared" si="0"/>
        <v>-1.9000000000000001</v>
      </c>
      <c r="F31" s="91">
        <f t="shared" si="2"/>
        <v>0.14956861922263504</v>
      </c>
    </row>
    <row r="32" spans="1:8" x14ac:dyDescent="0.25">
      <c r="A32" s="84">
        <v>23</v>
      </c>
      <c r="B32" s="89">
        <v>-999</v>
      </c>
      <c r="C32" s="90">
        <f t="shared" si="1"/>
        <v>0</v>
      </c>
      <c r="D32" s="90">
        <f t="shared" si="3"/>
        <v>0.32000000000000006</v>
      </c>
      <c r="E32" s="90">
        <f t="shared" si="0"/>
        <v>-1.9000000000000001</v>
      </c>
      <c r="F32" s="91">
        <f t="shared" si="2"/>
        <v>0.14956861922263504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I32"/>
  <sheetViews>
    <sheetView workbookViewId="0">
      <selection activeCell="L5" sqref="L5"/>
    </sheetView>
  </sheetViews>
  <sheetFormatPr defaultRowHeight="15" x14ac:dyDescent="0.25"/>
  <cols>
    <col min="1" max="1" width="4.42578125" style="84" customWidth="1"/>
    <col min="2" max="2" width="8.5703125" style="84" customWidth="1"/>
    <col min="3" max="3" width="9.85546875" style="84" customWidth="1"/>
    <col min="4" max="4" width="10.5703125" style="84" bestFit="1" customWidth="1"/>
    <col min="5" max="6" width="10.5703125" style="84" customWidth="1"/>
    <col min="7" max="7" width="5.85546875" style="84" customWidth="1"/>
    <col min="8" max="256" width="9.140625" style="84"/>
    <col min="257" max="257" width="4.42578125" style="84" customWidth="1"/>
    <col min="258" max="258" width="8.5703125" style="84" customWidth="1"/>
    <col min="259" max="259" width="9.85546875" style="84" customWidth="1"/>
    <col min="260" max="260" width="10.5703125" style="84" bestFit="1" customWidth="1"/>
    <col min="261" max="262" width="10.5703125" style="84" customWidth="1"/>
    <col min="263" max="263" width="5.85546875" style="84" customWidth="1"/>
    <col min="264" max="512" width="9.140625" style="84"/>
    <col min="513" max="513" width="4.42578125" style="84" customWidth="1"/>
    <col min="514" max="514" width="8.5703125" style="84" customWidth="1"/>
    <col min="515" max="515" width="9.85546875" style="84" customWidth="1"/>
    <col min="516" max="516" width="10.5703125" style="84" bestFit="1" customWidth="1"/>
    <col min="517" max="518" width="10.5703125" style="84" customWidth="1"/>
    <col min="519" max="519" width="5.85546875" style="84" customWidth="1"/>
    <col min="520" max="768" width="9.140625" style="84"/>
    <col min="769" max="769" width="4.42578125" style="84" customWidth="1"/>
    <col min="770" max="770" width="8.5703125" style="84" customWidth="1"/>
    <col min="771" max="771" width="9.85546875" style="84" customWidth="1"/>
    <col min="772" max="772" width="10.5703125" style="84" bestFit="1" customWidth="1"/>
    <col min="773" max="774" width="10.5703125" style="84" customWidth="1"/>
    <col min="775" max="775" width="5.85546875" style="84" customWidth="1"/>
    <col min="776" max="1024" width="9.140625" style="84"/>
    <col min="1025" max="1025" width="4.42578125" style="84" customWidth="1"/>
    <col min="1026" max="1026" width="8.5703125" style="84" customWidth="1"/>
    <col min="1027" max="1027" width="9.85546875" style="84" customWidth="1"/>
    <col min="1028" max="1028" width="10.5703125" style="84" bestFit="1" customWidth="1"/>
    <col min="1029" max="1030" width="10.5703125" style="84" customWidth="1"/>
    <col min="1031" max="1031" width="5.85546875" style="84" customWidth="1"/>
    <col min="1032" max="1280" width="9.140625" style="84"/>
    <col min="1281" max="1281" width="4.42578125" style="84" customWidth="1"/>
    <col min="1282" max="1282" width="8.5703125" style="84" customWidth="1"/>
    <col min="1283" max="1283" width="9.85546875" style="84" customWidth="1"/>
    <col min="1284" max="1284" width="10.5703125" style="84" bestFit="1" customWidth="1"/>
    <col min="1285" max="1286" width="10.5703125" style="84" customWidth="1"/>
    <col min="1287" max="1287" width="5.85546875" style="84" customWidth="1"/>
    <col min="1288" max="1536" width="9.140625" style="84"/>
    <col min="1537" max="1537" width="4.42578125" style="84" customWidth="1"/>
    <col min="1538" max="1538" width="8.5703125" style="84" customWidth="1"/>
    <col min="1539" max="1539" width="9.85546875" style="84" customWidth="1"/>
    <col min="1540" max="1540" width="10.5703125" style="84" bestFit="1" customWidth="1"/>
    <col min="1541" max="1542" width="10.5703125" style="84" customWidth="1"/>
    <col min="1543" max="1543" width="5.85546875" style="84" customWidth="1"/>
    <col min="1544" max="1792" width="9.140625" style="84"/>
    <col min="1793" max="1793" width="4.42578125" style="84" customWidth="1"/>
    <col min="1794" max="1794" width="8.5703125" style="84" customWidth="1"/>
    <col min="1795" max="1795" width="9.85546875" style="84" customWidth="1"/>
    <col min="1796" max="1796" width="10.5703125" style="84" bestFit="1" customWidth="1"/>
    <col min="1797" max="1798" width="10.5703125" style="84" customWidth="1"/>
    <col min="1799" max="1799" width="5.85546875" style="84" customWidth="1"/>
    <col min="1800" max="2048" width="9.140625" style="84"/>
    <col min="2049" max="2049" width="4.42578125" style="84" customWidth="1"/>
    <col min="2050" max="2050" width="8.5703125" style="84" customWidth="1"/>
    <col min="2051" max="2051" width="9.85546875" style="84" customWidth="1"/>
    <col min="2052" max="2052" width="10.5703125" style="84" bestFit="1" customWidth="1"/>
    <col min="2053" max="2054" width="10.5703125" style="84" customWidth="1"/>
    <col min="2055" max="2055" width="5.85546875" style="84" customWidth="1"/>
    <col min="2056" max="2304" width="9.140625" style="84"/>
    <col min="2305" max="2305" width="4.42578125" style="84" customWidth="1"/>
    <col min="2306" max="2306" width="8.5703125" style="84" customWidth="1"/>
    <col min="2307" max="2307" width="9.85546875" style="84" customWidth="1"/>
    <col min="2308" max="2308" width="10.5703125" style="84" bestFit="1" customWidth="1"/>
    <col min="2309" max="2310" width="10.5703125" style="84" customWidth="1"/>
    <col min="2311" max="2311" width="5.85546875" style="84" customWidth="1"/>
    <col min="2312" max="2560" width="9.140625" style="84"/>
    <col min="2561" max="2561" width="4.42578125" style="84" customWidth="1"/>
    <col min="2562" max="2562" width="8.5703125" style="84" customWidth="1"/>
    <col min="2563" max="2563" width="9.85546875" style="84" customWidth="1"/>
    <col min="2564" max="2564" width="10.5703125" style="84" bestFit="1" customWidth="1"/>
    <col min="2565" max="2566" width="10.5703125" style="84" customWidth="1"/>
    <col min="2567" max="2567" width="5.85546875" style="84" customWidth="1"/>
    <col min="2568" max="2816" width="9.140625" style="84"/>
    <col min="2817" max="2817" width="4.42578125" style="84" customWidth="1"/>
    <col min="2818" max="2818" width="8.5703125" style="84" customWidth="1"/>
    <col min="2819" max="2819" width="9.85546875" style="84" customWidth="1"/>
    <col min="2820" max="2820" width="10.5703125" style="84" bestFit="1" customWidth="1"/>
    <col min="2821" max="2822" width="10.5703125" style="84" customWidth="1"/>
    <col min="2823" max="2823" width="5.85546875" style="84" customWidth="1"/>
    <col min="2824" max="3072" width="9.140625" style="84"/>
    <col min="3073" max="3073" width="4.42578125" style="84" customWidth="1"/>
    <col min="3074" max="3074" width="8.5703125" style="84" customWidth="1"/>
    <col min="3075" max="3075" width="9.85546875" style="84" customWidth="1"/>
    <col min="3076" max="3076" width="10.5703125" style="84" bestFit="1" customWidth="1"/>
    <col min="3077" max="3078" width="10.5703125" style="84" customWidth="1"/>
    <col min="3079" max="3079" width="5.85546875" style="84" customWidth="1"/>
    <col min="3080" max="3328" width="9.140625" style="84"/>
    <col min="3329" max="3329" width="4.42578125" style="84" customWidth="1"/>
    <col min="3330" max="3330" width="8.5703125" style="84" customWidth="1"/>
    <col min="3331" max="3331" width="9.85546875" style="84" customWidth="1"/>
    <col min="3332" max="3332" width="10.5703125" style="84" bestFit="1" customWidth="1"/>
    <col min="3333" max="3334" width="10.5703125" style="84" customWidth="1"/>
    <col min="3335" max="3335" width="5.85546875" style="84" customWidth="1"/>
    <col min="3336" max="3584" width="9.140625" style="84"/>
    <col min="3585" max="3585" width="4.42578125" style="84" customWidth="1"/>
    <col min="3586" max="3586" width="8.5703125" style="84" customWidth="1"/>
    <col min="3587" max="3587" width="9.85546875" style="84" customWidth="1"/>
    <col min="3588" max="3588" width="10.5703125" style="84" bestFit="1" customWidth="1"/>
    <col min="3589" max="3590" width="10.5703125" style="84" customWidth="1"/>
    <col min="3591" max="3591" width="5.85546875" style="84" customWidth="1"/>
    <col min="3592" max="3840" width="9.140625" style="84"/>
    <col min="3841" max="3841" width="4.42578125" style="84" customWidth="1"/>
    <col min="3842" max="3842" width="8.5703125" style="84" customWidth="1"/>
    <col min="3843" max="3843" width="9.85546875" style="84" customWidth="1"/>
    <col min="3844" max="3844" width="10.5703125" style="84" bestFit="1" customWidth="1"/>
    <col min="3845" max="3846" width="10.5703125" style="84" customWidth="1"/>
    <col min="3847" max="3847" width="5.85546875" style="84" customWidth="1"/>
    <col min="3848" max="4096" width="9.140625" style="84"/>
    <col min="4097" max="4097" width="4.42578125" style="84" customWidth="1"/>
    <col min="4098" max="4098" width="8.5703125" style="84" customWidth="1"/>
    <col min="4099" max="4099" width="9.85546875" style="84" customWidth="1"/>
    <col min="4100" max="4100" width="10.5703125" style="84" bestFit="1" customWidth="1"/>
    <col min="4101" max="4102" width="10.5703125" style="84" customWidth="1"/>
    <col min="4103" max="4103" width="5.85546875" style="84" customWidth="1"/>
    <col min="4104" max="4352" width="9.140625" style="84"/>
    <col min="4353" max="4353" width="4.42578125" style="84" customWidth="1"/>
    <col min="4354" max="4354" width="8.5703125" style="84" customWidth="1"/>
    <col min="4355" max="4355" width="9.85546875" style="84" customWidth="1"/>
    <col min="4356" max="4356" width="10.5703125" style="84" bestFit="1" customWidth="1"/>
    <col min="4357" max="4358" width="10.5703125" style="84" customWidth="1"/>
    <col min="4359" max="4359" width="5.85546875" style="84" customWidth="1"/>
    <col min="4360" max="4608" width="9.140625" style="84"/>
    <col min="4609" max="4609" width="4.42578125" style="84" customWidth="1"/>
    <col min="4610" max="4610" width="8.5703125" style="84" customWidth="1"/>
    <col min="4611" max="4611" width="9.85546875" style="84" customWidth="1"/>
    <col min="4612" max="4612" width="10.5703125" style="84" bestFit="1" customWidth="1"/>
    <col min="4613" max="4614" width="10.5703125" style="84" customWidth="1"/>
    <col min="4615" max="4615" width="5.85546875" style="84" customWidth="1"/>
    <col min="4616" max="4864" width="9.140625" style="84"/>
    <col min="4865" max="4865" width="4.42578125" style="84" customWidth="1"/>
    <col min="4866" max="4866" width="8.5703125" style="84" customWidth="1"/>
    <col min="4867" max="4867" width="9.85546875" style="84" customWidth="1"/>
    <col min="4868" max="4868" width="10.5703125" style="84" bestFit="1" customWidth="1"/>
    <col min="4869" max="4870" width="10.5703125" style="84" customWidth="1"/>
    <col min="4871" max="4871" width="5.85546875" style="84" customWidth="1"/>
    <col min="4872" max="5120" width="9.140625" style="84"/>
    <col min="5121" max="5121" width="4.42578125" style="84" customWidth="1"/>
    <col min="5122" max="5122" width="8.5703125" style="84" customWidth="1"/>
    <col min="5123" max="5123" width="9.85546875" style="84" customWidth="1"/>
    <col min="5124" max="5124" width="10.5703125" style="84" bestFit="1" customWidth="1"/>
    <col min="5125" max="5126" width="10.5703125" style="84" customWidth="1"/>
    <col min="5127" max="5127" width="5.85546875" style="84" customWidth="1"/>
    <col min="5128" max="5376" width="9.140625" style="84"/>
    <col min="5377" max="5377" width="4.42578125" style="84" customWidth="1"/>
    <col min="5378" max="5378" width="8.5703125" style="84" customWidth="1"/>
    <col min="5379" max="5379" width="9.85546875" style="84" customWidth="1"/>
    <col min="5380" max="5380" width="10.5703125" style="84" bestFit="1" customWidth="1"/>
    <col min="5381" max="5382" width="10.5703125" style="84" customWidth="1"/>
    <col min="5383" max="5383" width="5.85546875" style="84" customWidth="1"/>
    <col min="5384" max="5632" width="9.140625" style="84"/>
    <col min="5633" max="5633" width="4.42578125" style="84" customWidth="1"/>
    <col min="5634" max="5634" width="8.5703125" style="84" customWidth="1"/>
    <col min="5635" max="5635" width="9.85546875" style="84" customWidth="1"/>
    <col min="5636" max="5636" width="10.5703125" style="84" bestFit="1" customWidth="1"/>
    <col min="5637" max="5638" width="10.5703125" style="84" customWidth="1"/>
    <col min="5639" max="5639" width="5.85546875" style="84" customWidth="1"/>
    <col min="5640" max="5888" width="9.140625" style="84"/>
    <col min="5889" max="5889" width="4.42578125" style="84" customWidth="1"/>
    <col min="5890" max="5890" width="8.5703125" style="84" customWidth="1"/>
    <col min="5891" max="5891" width="9.85546875" style="84" customWidth="1"/>
    <col min="5892" max="5892" width="10.5703125" style="84" bestFit="1" customWidth="1"/>
    <col min="5893" max="5894" width="10.5703125" style="84" customWidth="1"/>
    <col min="5895" max="5895" width="5.85546875" style="84" customWidth="1"/>
    <col min="5896" max="6144" width="9.140625" style="84"/>
    <col min="6145" max="6145" width="4.42578125" style="84" customWidth="1"/>
    <col min="6146" max="6146" width="8.5703125" style="84" customWidth="1"/>
    <col min="6147" max="6147" width="9.85546875" style="84" customWidth="1"/>
    <col min="6148" max="6148" width="10.5703125" style="84" bestFit="1" customWidth="1"/>
    <col min="6149" max="6150" width="10.5703125" style="84" customWidth="1"/>
    <col min="6151" max="6151" width="5.85546875" style="84" customWidth="1"/>
    <col min="6152" max="6400" width="9.140625" style="84"/>
    <col min="6401" max="6401" width="4.42578125" style="84" customWidth="1"/>
    <col min="6402" max="6402" width="8.5703125" style="84" customWidth="1"/>
    <col min="6403" max="6403" width="9.85546875" style="84" customWidth="1"/>
    <col min="6404" max="6404" width="10.5703125" style="84" bestFit="1" customWidth="1"/>
    <col min="6405" max="6406" width="10.5703125" style="84" customWidth="1"/>
    <col min="6407" max="6407" width="5.85546875" style="84" customWidth="1"/>
    <col min="6408" max="6656" width="9.140625" style="84"/>
    <col min="6657" max="6657" width="4.42578125" style="84" customWidth="1"/>
    <col min="6658" max="6658" width="8.5703125" style="84" customWidth="1"/>
    <col min="6659" max="6659" width="9.85546875" style="84" customWidth="1"/>
    <col min="6660" max="6660" width="10.5703125" style="84" bestFit="1" customWidth="1"/>
    <col min="6661" max="6662" width="10.5703125" style="84" customWidth="1"/>
    <col min="6663" max="6663" width="5.85546875" style="84" customWidth="1"/>
    <col min="6664" max="6912" width="9.140625" style="84"/>
    <col min="6913" max="6913" width="4.42578125" style="84" customWidth="1"/>
    <col min="6914" max="6914" width="8.5703125" style="84" customWidth="1"/>
    <col min="6915" max="6915" width="9.85546875" style="84" customWidth="1"/>
    <col min="6916" max="6916" width="10.5703125" style="84" bestFit="1" customWidth="1"/>
    <col min="6917" max="6918" width="10.5703125" style="84" customWidth="1"/>
    <col min="6919" max="6919" width="5.85546875" style="84" customWidth="1"/>
    <col min="6920" max="7168" width="9.140625" style="84"/>
    <col min="7169" max="7169" width="4.42578125" style="84" customWidth="1"/>
    <col min="7170" max="7170" width="8.5703125" style="84" customWidth="1"/>
    <col min="7171" max="7171" width="9.85546875" style="84" customWidth="1"/>
    <col min="7172" max="7172" width="10.5703125" style="84" bestFit="1" customWidth="1"/>
    <col min="7173" max="7174" width="10.5703125" style="84" customWidth="1"/>
    <col min="7175" max="7175" width="5.85546875" style="84" customWidth="1"/>
    <col min="7176" max="7424" width="9.140625" style="84"/>
    <col min="7425" max="7425" width="4.42578125" style="84" customWidth="1"/>
    <col min="7426" max="7426" width="8.5703125" style="84" customWidth="1"/>
    <col min="7427" max="7427" width="9.85546875" style="84" customWidth="1"/>
    <col min="7428" max="7428" width="10.5703125" style="84" bestFit="1" customWidth="1"/>
    <col min="7429" max="7430" width="10.5703125" style="84" customWidth="1"/>
    <col min="7431" max="7431" width="5.85546875" style="84" customWidth="1"/>
    <col min="7432" max="7680" width="9.140625" style="84"/>
    <col min="7681" max="7681" width="4.42578125" style="84" customWidth="1"/>
    <col min="7682" max="7682" width="8.5703125" style="84" customWidth="1"/>
    <col min="7683" max="7683" width="9.85546875" style="84" customWidth="1"/>
    <col min="7684" max="7684" width="10.5703125" style="84" bestFit="1" customWidth="1"/>
    <col min="7685" max="7686" width="10.5703125" style="84" customWidth="1"/>
    <col min="7687" max="7687" width="5.85546875" style="84" customWidth="1"/>
    <col min="7688" max="7936" width="9.140625" style="84"/>
    <col min="7937" max="7937" width="4.42578125" style="84" customWidth="1"/>
    <col min="7938" max="7938" width="8.5703125" style="84" customWidth="1"/>
    <col min="7939" max="7939" width="9.85546875" style="84" customWidth="1"/>
    <col min="7940" max="7940" width="10.5703125" style="84" bestFit="1" customWidth="1"/>
    <col min="7941" max="7942" width="10.5703125" style="84" customWidth="1"/>
    <col min="7943" max="7943" width="5.85546875" style="84" customWidth="1"/>
    <col min="7944" max="8192" width="9.140625" style="84"/>
    <col min="8193" max="8193" width="4.42578125" style="84" customWidth="1"/>
    <col min="8194" max="8194" width="8.5703125" style="84" customWidth="1"/>
    <col min="8195" max="8195" width="9.85546875" style="84" customWidth="1"/>
    <col min="8196" max="8196" width="10.5703125" style="84" bestFit="1" customWidth="1"/>
    <col min="8197" max="8198" width="10.5703125" style="84" customWidth="1"/>
    <col min="8199" max="8199" width="5.85546875" style="84" customWidth="1"/>
    <col min="8200" max="8448" width="9.140625" style="84"/>
    <col min="8449" max="8449" width="4.42578125" style="84" customWidth="1"/>
    <col min="8450" max="8450" width="8.5703125" style="84" customWidth="1"/>
    <col min="8451" max="8451" width="9.85546875" style="84" customWidth="1"/>
    <col min="8452" max="8452" width="10.5703125" style="84" bestFit="1" customWidth="1"/>
    <col min="8453" max="8454" width="10.5703125" style="84" customWidth="1"/>
    <col min="8455" max="8455" width="5.85546875" style="84" customWidth="1"/>
    <col min="8456" max="8704" width="9.140625" style="84"/>
    <col min="8705" max="8705" width="4.42578125" style="84" customWidth="1"/>
    <col min="8706" max="8706" width="8.5703125" style="84" customWidth="1"/>
    <col min="8707" max="8707" width="9.85546875" style="84" customWidth="1"/>
    <col min="8708" max="8708" width="10.5703125" style="84" bestFit="1" customWidth="1"/>
    <col min="8709" max="8710" width="10.5703125" style="84" customWidth="1"/>
    <col min="8711" max="8711" width="5.85546875" style="84" customWidth="1"/>
    <col min="8712" max="8960" width="9.140625" style="84"/>
    <col min="8961" max="8961" width="4.42578125" style="84" customWidth="1"/>
    <col min="8962" max="8962" width="8.5703125" style="84" customWidth="1"/>
    <col min="8963" max="8963" width="9.85546875" style="84" customWidth="1"/>
    <col min="8964" max="8964" width="10.5703125" style="84" bestFit="1" customWidth="1"/>
    <col min="8965" max="8966" width="10.5703125" style="84" customWidth="1"/>
    <col min="8967" max="8967" width="5.85546875" style="84" customWidth="1"/>
    <col min="8968" max="9216" width="9.140625" style="84"/>
    <col min="9217" max="9217" width="4.42578125" style="84" customWidth="1"/>
    <col min="9218" max="9218" width="8.5703125" style="84" customWidth="1"/>
    <col min="9219" max="9219" width="9.85546875" style="84" customWidth="1"/>
    <col min="9220" max="9220" width="10.5703125" style="84" bestFit="1" customWidth="1"/>
    <col min="9221" max="9222" width="10.5703125" style="84" customWidth="1"/>
    <col min="9223" max="9223" width="5.85546875" style="84" customWidth="1"/>
    <col min="9224" max="9472" width="9.140625" style="84"/>
    <col min="9473" max="9473" width="4.42578125" style="84" customWidth="1"/>
    <col min="9474" max="9474" width="8.5703125" style="84" customWidth="1"/>
    <col min="9475" max="9475" width="9.85546875" style="84" customWidth="1"/>
    <col min="9476" max="9476" width="10.5703125" style="84" bestFit="1" customWidth="1"/>
    <col min="9477" max="9478" width="10.5703125" style="84" customWidth="1"/>
    <col min="9479" max="9479" width="5.85546875" style="84" customWidth="1"/>
    <col min="9480" max="9728" width="9.140625" style="84"/>
    <col min="9729" max="9729" width="4.42578125" style="84" customWidth="1"/>
    <col min="9730" max="9730" width="8.5703125" style="84" customWidth="1"/>
    <col min="9731" max="9731" width="9.85546875" style="84" customWidth="1"/>
    <col min="9732" max="9732" width="10.5703125" style="84" bestFit="1" customWidth="1"/>
    <col min="9733" max="9734" width="10.5703125" style="84" customWidth="1"/>
    <col min="9735" max="9735" width="5.85546875" style="84" customWidth="1"/>
    <col min="9736" max="9984" width="9.140625" style="84"/>
    <col min="9985" max="9985" width="4.42578125" style="84" customWidth="1"/>
    <col min="9986" max="9986" width="8.5703125" style="84" customWidth="1"/>
    <col min="9987" max="9987" width="9.85546875" style="84" customWidth="1"/>
    <col min="9988" max="9988" width="10.5703125" style="84" bestFit="1" customWidth="1"/>
    <col min="9989" max="9990" width="10.5703125" style="84" customWidth="1"/>
    <col min="9991" max="9991" width="5.85546875" style="84" customWidth="1"/>
    <col min="9992" max="10240" width="9.140625" style="84"/>
    <col min="10241" max="10241" width="4.42578125" style="84" customWidth="1"/>
    <col min="10242" max="10242" width="8.5703125" style="84" customWidth="1"/>
    <col min="10243" max="10243" width="9.85546875" style="84" customWidth="1"/>
    <col min="10244" max="10244" width="10.5703125" style="84" bestFit="1" customWidth="1"/>
    <col min="10245" max="10246" width="10.5703125" style="84" customWidth="1"/>
    <col min="10247" max="10247" width="5.85546875" style="84" customWidth="1"/>
    <col min="10248" max="10496" width="9.140625" style="84"/>
    <col min="10497" max="10497" width="4.42578125" style="84" customWidth="1"/>
    <col min="10498" max="10498" width="8.5703125" style="84" customWidth="1"/>
    <col min="10499" max="10499" width="9.85546875" style="84" customWidth="1"/>
    <col min="10500" max="10500" width="10.5703125" style="84" bestFit="1" customWidth="1"/>
    <col min="10501" max="10502" width="10.5703125" style="84" customWidth="1"/>
    <col min="10503" max="10503" width="5.85546875" style="84" customWidth="1"/>
    <col min="10504" max="10752" width="9.140625" style="84"/>
    <col min="10753" max="10753" width="4.42578125" style="84" customWidth="1"/>
    <col min="10754" max="10754" width="8.5703125" style="84" customWidth="1"/>
    <col min="10755" max="10755" width="9.85546875" style="84" customWidth="1"/>
    <col min="10756" max="10756" width="10.5703125" style="84" bestFit="1" customWidth="1"/>
    <col min="10757" max="10758" width="10.5703125" style="84" customWidth="1"/>
    <col min="10759" max="10759" width="5.85546875" style="84" customWidth="1"/>
    <col min="10760" max="11008" width="9.140625" style="84"/>
    <col min="11009" max="11009" width="4.42578125" style="84" customWidth="1"/>
    <col min="11010" max="11010" width="8.5703125" style="84" customWidth="1"/>
    <col min="11011" max="11011" width="9.85546875" style="84" customWidth="1"/>
    <col min="11012" max="11012" width="10.5703125" style="84" bestFit="1" customWidth="1"/>
    <col min="11013" max="11014" width="10.5703125" style="84" customWidth="1"/>
    <col min="11015" max="11015" width="5.85546875" style="84" customWidth="1"/>
    <col min="11016" max="11264" width="9.140625" style="84"/>
    <col min="11265" max="11265" width="4.42578125" style="84" customWidth="1"/>
    <col min="11266" max="11266" width="8.5703125" style="84" customWidth="1"/>
    <col min="11267" max="11267" width="9.85546875" style="84" customWidth="1"/>
    <col min="11268" max="11268" width="10.5703125" style="84" bestFit="1" customWidth="1"/>
    <col min="11269" max="11270" width="10.5703125" style="84" customWidth="1"/>
    <col min="11271" max="11271" width="5.85546875" style="84" customWidth="1"/>
    <col min="11272" max="11520" width="9.140625" style="84"/>
    <col min="11521" max="11521" width="4.42578125" style="84" customWidth="1"/>
    <col min="11522" max="11522" width="8.5703125" style="84" customWidth="1"/>
    <col min="11523" max="11523" width="9.85546875" style="84" customWidth="1"/>
    <col min="11524" max="11524" width="10.5703125" style="84" bestFit="1" customWidth="1"/>
    <col min="11525" max="11526" width="10.5703125" style="84" customWidth="1"/>
    <col min="11527" max="11527" width="5.85546875" style="84" customWidth="1"/>
    <col min="11528" max="11776" width="9.140625" style="84"/>
    <col min="11777" max="11777" width="4.42578125" style="84" customWidth="1"/>
    <col min="11778" max="11778" width="8.5703125" style="84" customWidth="1"/>
    <col min="11779" max="11779" width="9.85546875" style="84" customWidth="1"/>
    <col min="11780" max="11780" width="10.5703125" style="84" bestFit="1" customWidth="1"/>
    <col min="11781" max="11782" width="10.5703125" style="84" customWidth="1"/>
    <col min="11783" max="11783" width="5.85546875" style="84" customWidth="1"/>
    <col min="11784" max="12032" width="9.140625" style="84"/>
    <col min="12033" max="12033" width="4.42578125" style="84" customWidth="1"/>
    <col min="12034" max="12034" width="8.5703125" style="84" customWidth="1"/>
    <col min="12035" max="12035" width="9.85546875" style="84" customWidth="1"/>
    <col min="12036" max="12036" width="10.5703125" style="84" bestFit="1" customWidth="1"/>
    <col min="12037" max="12038" width="10.5703125" style="84" customWidth="1"/>
    <col min="12039" max="12039" width="5.85546875" style="84" customWidth="1"/>
    <col min="12040" max="12288" width="9.140625" style="84"/>
    <col min="12289" max="12289" width="4.42578125" style="84" customWidth="1"/>
    <col min="12290" max="12290" width="8.5703125" style="84" customWidth="1"/>
    <col min="12291" max="12291" width="9.85546875" style="84" customWidth="1"/>
    <col min="12292" max="12292" width="10.5703125" style="84" bestFit="1" customWidth="1"/>
    <col min="12293" max="12294" width="10.5703125" style="84" customWidth="1"/>
    <col min="12295" max="12295" width="5.85546875" style="84" customWidth="1"/>
    <col min="12296" max="12544" width="9.140625" style="84"/>
    <col min="12545" max="12545" width="4.42578125" style="84" customWidth="1"/>
    <col min="12546" max="12546" width="8.5703125" style="84" customWidth="1"/>
    <col min="12547" max="12547" width="9.85546875" style="84" customWidth="1"/>
    <col min="12548" max="12548" width="10.5703125" style="84" bestFit="1" customWidth="1"/>
    <col min="12549" max="12550" width="10.5703125" style="84" customWidth="1"/>
    <col min="12551" max="12551" width="5.85546875" style="84" customWidth="1"/>
    <col min="12552" max="12800" width="9.140625" style="84"/>
    <col min="12801" max="12801" width="4.42578125" style="84" customWidth="1"/>
    <col min="12802" max="12802" width="8.5703125" style="84" customWidth="1"/>
    <col min="12803" max="12803" width="9.85546875" style="84" customWidth="1"/>
    <col min="12804" max="12804" width="10.5703125" style="84" bestFit="1" customWidth="1"/>
    <col min="12805" max="12806" width="10.5703125" style="84" customWidth="1"/>
    <col min="12807" max="12807" width="5.85546875" style="84" customWidth="1"/>
    <col min="12808" max="13056" width="9.140625" style="84"/>
    <col min="13057" max="13057" width="4.42578125" style="84" customWidth="1"/>
    <col min="13058" max="13058" width="8.5703125" style="84" customWidth="1"/>
    <col min="13059" max="13059" width="9.85546875" style="84" customWidth="1"/>
    <col min="13060" max="13060" width="10.5703125" style="84" bestFit="1" customWidth="1"/>
    <col min="13061" max="13062" width="10.5703125" style="84" customWidth="1"/>
    <col min="13063" max="13063" width="5.85546875" style="84" customWidth="1"/>
    <col min="13064" max="13312" width="9.140625" style="84"/>
    <col min="13313" max="13313" width="4.42578125" style="84" customWidth="1"/>
    <col min="13314" max="13314" width="8.5703125" style="84" customWidth="1"/>
    <col min="13315" max="13315" width="9.85546875" style="84" customWidth="1"/>
    <col min="13316" max="13316" width="10.5703125" style="84" bestFit="1" customWidth="1"/>
    <col min="13317" max="13318" width="10.5703125" style="84" customWidth="1"/>
    <col min="13319" max="13319" width="5.85546875" style="84" customWidth="1"/>
    <col min="13320" max="13568" width="9.140625" style="84"/>
    <col min="13569" max="13569" width="4.42578125" style="84" customWidth="1"/>
    <col min="13570" max="13570" width="8.5703125" style="84" customWidth="1"/>
    <col min="13571" max="13571" width="9.85546875" style="84" customWidth="1"/>
    <col min="13572" max="13572" width="10.5703125" style="84" bestFit="1" customWidth="1"/>
    <col min="13573" max="13574" width="10.5703125" style="84" customWidth="1"/>
    <col min="13575" max="13575" width="5.85546875" style="84" customWidth="1"/>
    <col min="13576" max="13824" width="9.140625" style="84"/>
    <col min="13825" max="13825" width="4.42578125" style="84" customWidth="1"/>
    <col min="13826" max="13826" width="8.5703125" style="84" customWidth="1"/>
    <col min="13827" max="13827" width="9.85546875" style="84" customWidth="1"/>
    <col min="13828" max="13828" width="10.5703125" style="84" bestFit="1" customWidth="1"/>
    <col min="13829" max="13830" width="10.5703125" style="84" customWidth="1"/>
    <col min="13831" max="13831" width="5.85546875" style="84" customWidth="1"/>
    <col min="13832" max="14080" width="9.140625" style="84"/>
    <col min="14081" max="14081" width="4.42578125" style="84" customWidth="1"/>
    <col min="14082" max="14082" width="8.5703125" style="84" customWidth="1"/>
    <col min="14083" max="14083" width="9.85546875" style="84" customWidth="1"/>
    <col min="14084" max="14084" width="10.5703125" style="84" bestFit="1" customWidth="1"/>
    <col min="14085" max="14086" width="10.5703125" style="84" customWidth="1"/>
    <col min="14087" max="14087" width="5.85546875" style="84" customWidth="1"/>
    <col min="14088" max="14336" width="9.140625" style="84"/>
    <col min="14337" max="14337" width="4.42578125" style="84" customWidth="1"/>
    <col min="14338" max="14338" width="8.5703125" style="84" customWidth="1"/>
    <col min="14339" max="14339" width="9.85546875" style="84" customWidth="1"/>
    <col min="14340" max="14340" width="10.5703125" style="84" bestFit="1" customWidth="1"/>
    <col min="14341" max="14342" width="10.5703125" style="84" customWidth="1"/>
    <col min="14343" max="14343" width="5.85546875" style="84" customWidth="1"/>
    <col min="14344" max="14592" width="9.140625" style="84"/>
    <col min="14593" max="14593" width="4.42578125" style="84" customWidth="1"/>
    <col min="14594" max="14594" width="8.5703125" style="84" customWidth="1"/>
    <col min="14595" max="14595" width="9.85546875" style="84" customWidth="1"/>
    <col min="14596" max="14596" width="10.5703125" style="84" bestFit="1" customWidth="1"/>
    <col min="14597" max="14598" width="10.5703125" style="84" customWidth="1"/>
    <col min="14599" max="14599" width="5.85546875" style="84" customWidth="1"/>
    <col min="14600" max="14848" width="9.140625" style="84"/>
    <col min="14849" max="14849" width="4.42578125" style="84" customWidth="1"/>
    <col min="14850" max="14850" width="8.5703125" style="84" customWidth="1"/>
    <col min="14851" max="14851" width="9.85546875" style="84" customWidth="1"/>
    <col min="14852" max="14852" width="10.5703125" style="84" bestFit="1" customWidth="1"/>
    <col min="14853" max="14854" width="10.5703125" style="84" customWidth="1"/>
    <col min="14855" max="14855" width="5.85546875" style="84" customWidth="1"/>
    <col min="14856" max="15104" width="9.140625" style="84"/>
    <col min="15105" max="15105" width="4.42578125" style="84" customWidth="1"/>
    <col min="15106" max="15106" width="8.5703125" style="84" customWidth="1"/>
    <col min="15107" max="15107" width="9.85546875" style="84" customWidth="1"/>
    <col min="15108" max="15108" width="10.5703125" style="84" bestFit="1" customWidth="1"/>
    <col min="15109" max="15110" width="10.5703125" style="84" customWidth="1"/>
    <col min="15111" max="15111" width="5.85546875" style="84" customWidth="1"/>
    <col min="15112" max="15360" width="9.140625" style="84"/>
    <col min="15361" max="15361" width="4.42578125" style="84" customWidth="1"/>
    <col min="15362" max="15362" width="8.5703125" style="84" customWidth="1"/>
    <col min="15363" max="15363" width="9.85546875" style="84" customWidth="1"/>
    <col min="15364" max="15364" width="10.5703125" style="84" bestFit="1" customWidth="1"/>
    <col min="15365" max="15366" width="10.5703125" style="84" customWidth="1"/>
    <col min="15367" max="15367" width="5.85546875" style="84" customWidth="1"/>
    <col min="15368" max="15616" width="9.140625" style="84"/>
    <col min="15617" max="15617" width="4.42578125" style="84" customWidth="1"/>
    <col min="15618" max="15618" width="8.5703125" style="84" customWidth="1"/>
    <col min="15619" max="15619" width="9.85546875" style="84" customWidth="1"/>
    <col min="15620" max="15620" width="10.5703125" style="84" bestFit="1" customWidth="1"/>
    <col min="15621" max="15622" width="10.5703125" style="84" customWidth="1"/>
    <col min="15623" max="15623" width="5.85546875" style="84" customWidth="1"/>
    <col min="15624" max="15872" width="9.140625" style="84"/>
    <col min="15873" max="15873" width="4.42578125" style="84" customWidth="1"/>
    <col min="15874" max="15874" width="8.5703125" style="84" customWidth="1"/>
    <col min="15875" max="15875" width="9.85546875" style="84" customWidth="1"/>
    <col min="15876" max="15876" width="10.5703125" style="84" bestFit="1" customWidth="1"/>
    <col min="15877" max="15878" width="10.5703125" style="84" customWidth="1"/>
    <col min="15879" max="15879" width="5.85546875" style="84" customWidth="1"/>
    <col min="15880" max="16128" width="9.140625" style="84"/>
    <col min="16129" max="16129" width="4.42578125" style="84" customWidth="1"/>
    <col min="16130" max="16130" width="8.5703125" style="84" customWidth="1"/>
    <col min="16131" max="16131" width="9.85546875" style="84" customWidth="1"/>
    <col min="16132" max="16132" width="10.5703125" style="84" bestFit="1" customWidth="1"/>
    <col min="16133" max="16134" width="10.5703125" style="84" customWidth="1"/>
    <col min="16135" max="16135" width="5.85546875" style="84" customWidth="1"/>
    <col min="16136" max="16384" width="9.140625" style="84"/>
  </cols>
  <sheetData>
    <row r="2" spans="1:7" x14ac:dyDescent="0.25">
      <c r="D2" s="86" t="s">
        <v>77</v>
      </c>
      <c r="E2" s="92">
        <v>8</v>
      </c>
    </row>
    <row r="3" spans="1:7" x14ac:dyDescent="0.25">
      <c r="D3" s="86" t="s">
        <v>78</v>
      </c>
      <c r="E3" s="92">
        <v>12</v>
      </c>
      <c r="F3" s="85"/>
    </row>
    <row r="5" spans="1:7" x14ac:dyDescent="0.25">
      <c r="E5" s="86"/>
    </row>
    <row r="6" spans="1:7" x14ac:dyDescent="0.25">
      <c r="D6" s="86" t="s">
        <v>79</v>
      </c>
      <c r="E6" s="93">
        <f>SUMPRODUCT(D9:D32,E9:E32)/SUM(E9:E32)</f>
        <v>2.1920000000000006</v>
      </c>
    </row>
    <row r="7" spans="1:7" ht="30" x14ac:dyDescent="0.25">
      <c r="A7" s="86" t="s">
        <v>67</v>
      </c>
      <c r="B7" s="86" t="s">
        <v>68</v>
      </c>
      <c r="C7" s="86" t="s">
        <v>69</v>
      </c>
      <c r="D7" s="86" t="s">
        <v>70</v>
      </c>
      <c r="E7" s="86" t="s">
        <v>80</v>
      </c>
      <c r="F7" s="88" t="s">
        <v>71</v>
      </c>
      <c r="G7" s="86" t="s">
        <v>72</v>
      </c>
    </row>
    <row r="9" spans="1:7" x14ac:dyDescent="0.25">
      <c r="A9" s="84">
        <v>0</v>
      </c>
      <c r="B9" s="89">
        <v>-1000</v>
      </c>
      <c r="C9" s="90">
        <f>IF(B9&gt;-999,B9,C8)</f>
        <v>0</v>
      </c>
      <c r="D9" s="90">
        <f>C9</f>
        <v>0</v>
      </c>
      <c r="E9" s="90">
        <f>IF(A9&lt;$E$2,0,IF(A9&gt;$E$3,0,1))</f>
        <v>0</v>
      </c>
      <c r="F9" s="90">
        <f>D9-$E$6</f>
        <v>-2.1920000000000006</v>
      </c>
      <c r="G9" s="91">
        <f>IF(B9=-1000,0,EXP(F9))</f>
        <v>0</v>
      </c>
    </row>
    <row r="10" spans="1:7" x14ac:dyDescent="0.25">
      <c r="A10" s="84">
        <v>1</v>
      </c>
      <c r="B10" s="89">
        <v>-1000</v>
      </c>
      <c r="C10" s="90">
        <f t="shared" ref="C10:C32" si="0">IF(B10&gt;-999,B10,C9)</f>
        <v>0</v>
      </c>
      <c r="D10" s="90">
        <f>D9+C10</f>
        <v>0</v>
      </c>
      <c r="E10" s="90">
        <f>IF(A10&lt;$E$2,0,IF(A10&gt;$E$3,0,1))</f>
        <v>0</v>
      </c>
      <c r="F10" s="90">
        <f>D10-$E$6</f>
        <v>-2.1920000000000006</v>
      </c>
      <c r="G10" s="91">
        <f t="shared" ref="G10:G32" si="1">IF(B10=-1000,0,EXP(F10))</f>
        <v>0</v>
      </c>
    </row>
    <row r="11" spans="1:7" x14ac:dyDescent="0.25">
      <c r="A11" s="84">
        <v>2</v>
      </c>
      <c r="B11" s="89">
        <v>0</v>
      </c>
      <c r="C11" s="90">
        <f t="shared" si="0"/>
        <v>0</v>
      </c>
      <c r="D11" s="90">
        <f t="shared" ref="D11:D32" si="2">D10+C11</f>
        <v>0</v>
      </c>
      <c r="E11" s="90">
        <f>IF(A11&lt;$E$2,0,IF(A11&gt;$E$3,0,1))</f>
        <v>0</v>
      </c>
      <c r="F11" s="90">
        <f>D11-$E$6</f>
        <v>-2.1920000000000006</v>
      </c>
      <c r="G11" s="91">
        <f t="shared" si="1"/>
        <v>0.11169313880444363</v>
      </c>
    </row>
    <row r="12" spans="1:7" x14ac:dyDescent="0.25">
      <c r="A12" s="84">
        <v>3</v>
      </c>
      <c r="B12" s="89">
        <v>0.5</v>
      </c>
      <c r="C12" s="90">
        <f t="shared" si="0"/>
        <v>0.5</v>
      </c>
      <c r="D12" s="90">
        <f t="shared" si="2"/>
        <v>0.5</v>
      </c>
      <c r="E12" s="90">
        <f>IF(A12&lt;$E$2,0,IF(A12&gt;$E$3,0,1))</f>
        <v>0</v>
      </c>
      <c r="F12" s="90">
        <f>D12-$E$6</f>
        <v>-1.6920000000000006</v>
      </c>
      <c r="G12" s="91">
        <f t="shared" si="1"/>
        <v>0.1841508537381481</v>
      </c>
    </row>
    <row r="13" spans="1:7" x14ac:dyDescent="0.25">
      <c r="A13" s="84">
        <v>4</v>
      </c>
      <c r="B13" s="89">
        <v>-999</v>
      </c>
      <c r="C13" s="90">
        <f t="shared" si="0"/>
        <v>0.5</v>
      </c>
      <c r="D13" s="90">
        <f t="shared" si="2"/>
        <v>1</v>
      </c>
      <c r="E13" s="90">
        <f>IF(A13&lt;$E$2,0,IF(A13&gt;$E$3,0,1))</f>
        <v>0</v>
      </c>
      <c r="F13" s="90">
        <f>D13-$E$6</f>
        <v>-1.1920000000000006</v>
      </c>
      <c r="G13" s="91">
        <f t="shared" si="1"/>
        <v>0.30361342957567294</v>
      </c>
    </row>
    <row r="14" spans="1:7" x14ac:dyDescent="0.25">
      <c r="A14" s="84">
        <v>5</v>
      </c>
      <c r="B14" s="89">
        <v>-999</v>
      </c>
      <c r="C14" s="90">
        <f t="shared" si="0"/>
        <v>0.5</v>
      </c>
      <c r="D14" s="90">
        <f t="shared" si="2"/>
        <v>1.5</v>
      </c>
      <c r="E14" s="90">
        <f>IF(A14&lt;$E$2,0,IF(A14&gt;$E$3,0,1))</f>
        <v>0</v>
      </c>
      <c r="F14" s="90">
        <f>D14-$E$6</f>
        <v>-0.69200000000000061</v>
      </c>
      <c r="G14" s="91">
        <f t="shared" si="1"/>
        <v>0.50057391941162743</v>
      </c>
    </row>
    <row r="15" spans="1:7" x14ac:dyDescent="0.25">
      <c r="A15" s="84">
        <v>6</v>
      </c>
      <c r="B15" s="89">
        <v>0.2</v>
      </c>
      <c r="C15" s="90">
        <f t="shared" si="0"/>
        <v>0.2</v>
      </c>
      <c r="D15" s="90">
        <f t="shared" si="2"/>
        <v>1.7</v>
      </c>
      <c r="E15" s="90">
        <f>IF(A15&lt;$E$2,0,IF(A15&gt;$E$3,0,1))</f>
        <v>0</v>
      </c>
      <c r="F15" s="90">
        <f>D15-$E$6</f>
        <v>-0.49200000000000066</v>
      </c>
      <c r="G15" s="91">
        <f t="shared" si="1"/>
        <v>0.61140236583240826</v>
      </c>
    </row>
    <row r="16" spans="1:7" x14ac:dyDescent="0.25">
      <c r="A16" s="84">
        <v>7</v>
      </c>
      <c r="B16" s="89">
        <v>0.2</v>
      </c>
      <c r="C16" s="90">
        <f t="shared" si="0"/>
        <v>0.2</v>
      </c>
      <c r="D16" s="90">
        <f t="shared" si="2"/>
        <v>1.9</v>
      </c>
      <c r="E16" s="90">
        <f>IF(A16&lt;$E$2,0,IF(A16&gt;$E$3,0,1))</f>
        <v>0</v>
      </c>
      <c r="F16" s="90">
        <f>D16-$E$6</f>
        <v>-0.2920000000000007</v>
      </c>
      <c r="G16" s="91">
        <f t="shared" si="1"/>
        <v>0.74676853597335657</v>
      </c>
    </row>
    <row r="17" spans="1:9" x14ac:dyDescent="0.25">
      <c r="A17" s="84">
        <v>8</v>
      </c>
      <c r="B17" s="89">
        <v>0.2</v>
      </c>
      <c r="C17" s="90">
        <f t="shared" si="0"/>
        <v>0.2</v>
      </c>
      <c r="D17" s="90">
        <f t="shared" si="2"/>
        <v>2.1</v>
      </c>
      <c r="E17" s="90">
        <f>IF(A17&lt;$E$2,0,IF(A17&gt;$E$3,0,1))</f>
        <v>1</v>
      </c>
      <c r="F17" s="90">
        <f>D17-$E$6</f>
        <v>-9.2000000000000526E-2</v>
      </c>
      <c r="G17" s="91">
        <f t="shared" si="1"/>
        <v>0.91210514954508992</v>
      </c>
    </row>
    <row r="18" spans="1:9" x14ac:dyDescent="0.25">
      <c r="A18" s="84">
        <v>9</v>
      </c>
      <c r="B18" s="89">
        <v>0.1</v>
      </c>
      <c r="C18" s="90">
        <f t="shared" si="0"/>
        <v>0.1</v>
      </c>
      <c r="D18" s="90">
        <f t="shared" si="2"/>
        <v>2.2000000000000002</v>
      </c>
      <c r="E18" s="90">
        <f>IF(A18&lt;$E$2,0,IF(A18&gt;$E$3,0,1))</f>
        <v>1</v>
      </c>
      <c r="F18" s="90">
        <f>D18-$E$6</f>
        <v>7.999999999999563E-3</v>
      </c>
      <c r="G18" s="91">
        <f t="shared" si="1"/>
        <v>1.008032085504273</v>
      </c>
    </row>
    <row r="19" spans="1:9" x14ac:dyDescent="0.25">
      <c r="A19" s="84">
        <v>10</v>
      </c>
      <c r="B19" s="89">
        <v>0.02</v>
      </c>
      <c r="C19" s="90">
        <f t="shared" si="0"/>
        <v>0.02</v>
      </c>
      <c r="D19" s="90">
        <f t="shared" si="2"/>
        <v>2.2200000000000002</v>
      </c>
      <c r="E19" s="90">
        <f>IF(A19&lt;$E$2,0,IF(A19&gt;$E$3,0,1))</f>
        <v>1</v>
      </c>
      <c r="F19" s="90">
        <f>D19-$E$6</f>
        <v>2.7999999999999581E-2</v>
      </c>
      <c r="G19" s="91">
        <f t="shared" si="1"/>
        <v>1.0283956844214246</v>
      </c>
    </row>
    <row r="20" spans="1:9" x14ac:dyDescent="0.25">
      <c r="A20" s="84">
        <v>11</v>
      </c>
      <c r="B20" s="89">
        <v>0</v>
      </c>
      <c r="C20" s="90">
        <f t="shared" si="0"/>
        <v>0</v>
      </c>
      <c r="D20" s="90">
        <f t="shared" si="2"/>
        <v>2.2200000000000002</v>
      </c>
      <c r="E20" s="90">
        <f>IF(A20&lt;$E$2,0,IF(A20&gt;$E$3,0,1))</f>
        <v>1</v>
      </c>
      <c r="F20" s="90">
        <f>D20-$E$6</f>
        <v>2.7999999999999581E-2</v>
      </c>
      <c r="G20" s="91">
        <f t="shared" si="1"/>
        <v>1.0283956844214246</v>
      </c>
    </row>
    <row r="21" spans="1:9" x14ac:dyDescent="0.25">
      <c r="A21" s="84">
        <v>12</v>
      </c>
      <c r="B21" s="89">
        <v>0</v>
      </c>
      <c r="C21" s="90">
        <f t="shared" si="0"/>
        <v>0</v>
      </c>
      <c r="D21" s="90">
        <f t="shared" si="2"/>
        <v>2.2200000000000002</v>
      </c>
      <c r="E21" s="90">
        <f>IF(A21&lt;$E$2,0,IF(A21&gt;$E$3,0,1))</f>
        <v>1</v>
      </c>
      <c r="F21" s="90">
        <f>D21-$E$6</f>
        <v>2.7999999999999581E-2</v>
      </c>
      <c r="G21" s="91">
        <f t="shared" si="1"/>
        <v>1.0283956844214246</v>
      </c>
    </row>
    <row r="22" spans="1:9" x14ac:dyDescent="0.25">
      <c r="A22" s="84">
        <v>13</v>
      </c>
      <c r="B22" s="89">
        <v>0</v>
      </c>
      <c r="C22" s="90">
        <f t="shared" si="0"/>
        <v>0</v>
      </c>
      <c r="D22" s="90">
        <f t="shared" si="2"/>
        <v>2.2200000000000002</v>
      </c>
      <c r="E22" s="90">
        <f>IF(A22&lt;$E$2,0,IF(A22&gt;$E$3,0,1))</f>
        <v>0</v>
      </c>
      <c r="F22" s="90">
        <f>D22-$E$6</f>
        <v>2.7999999999999581E-2</v>
      </c>
      <c r="G22" s="91">
        <f t="shared" si="1"/>
        <v>1.0283956844214246</v>
      </c>
    </row>
    <row r="23" spans="1:9" x14ac:dyDescent="0.25">
      <c r="A23" s="84">
        <v>14</v>
      </c>
      <c r="B23" s="89">
        <v>-0.1</v>
      </c>
      <c r="C23" s="90">
        <f t="shared" si="0"/>
        <v>-0.1</v>
      </c>
      <c r="D23" s="90">
        <f t="shared" si="2"/>
        <v>2.12</v>
      </c>
      <c r="E23" s="90">
        <f>IF(A23&lt;$E$2,0,IF(A23&gt;$E$3,0,1))</f>
        <v>0</v>
      </c>
      <c r="F23" s="90">
        <f>D23-$E$6</f>
        <v>-7.2000000000000508E-2</v>
      </c>
      <c r="G23" s="91">
        <f t="shared" si="1"/>
        <v>0.93053089581120529</v>
      </c>
    </row>
    <row r="24" spans="1:9" x14ac:dyDescent="0.25">
      <c r="A24" s="84">
        <v>15</v>
      </c>
      <c r="B24" s="89">
        <v>-0.2</v>
      </c>
      <c r="C24" s="90">
        <f t="shared" si="0"/>
        <v>-0.2</v>
      </c>
      <c r="D24" s="90">
        <f t="shared" si="2"/>
        <v>1.9200000000000002</v>
      </c>
      <c r="E24" s="90">
        <f>IF(A24&lt;$E$2,0,IF(A24&gt;$E$3,0,1))</f>
        <v>0</v>
      </c>
      <c r="F24" s="90">
        <f>D24-$E$6</f>
        <v>-0.27200000000000046</v>
      </c>
      <c r="G24" s="91">
        <f t="shared" si="1"/>
        <v>0.76185426108983723</v>
      </c>
    </row>
    <row r="25" spans="1:9" x14ac:dyDescent="0.25">
      <c r="A25" s="84">
        <v>16</v>
      </c>
      <c r="B25" s="89">
        <v>-0.2</v>
      </c>
      <c r="C25" s="90">
        <f t="shared" si="0"/>
        <v>-0.2</v>
      </c>
      <c r="D25" s="90">
        <f t="shared" si="2"/>
        <v>1.7200000000000002</v>
      </c>
      <c r="E25" s="90">
        <f>IF(A25&lt;$E$2,0,IF(A25&gt;$E$3,0,1))</f>
        <v>0</v>
      </c>
      <c r="F25" s="90">
        <f>D25-$E$6</f>
        <v>-0.47200000000000042</v>
      </c>
      <c r="G25" s="91">
        <f t="shared" si="1"/>
        <v>0.62375351291775183</v>
      </c>
      <c r="I25" s="84" t="s">
        <v>73</v>
      </c>
    </row>
    <row r="26" spans="1:9" x14ac:dyDescent="0.25">
      <c r="A26" s="84">
        <v>17</v>
      </c>
      <c r="B26" s="89">
        <v>-0.2</v>
      </c>
      <c r="C26" s="90">
        <f t="shared" si="0"/>
        <v>-0.2</v>
      </c>
      <c r="D26" s="90">
        <f t="shared" si="2"/>
        <v>1.5200000000000002</v>
      </c>
      <c r="E26" s="90">
        <f>IF(A26&lt;$E$2,0,IF(A26&gt;$E$3,0,1))</f>
        <v>0</v>
      </c>
      <c r="F26" s="90">
        <f>D26-$E$6</f>
        <v>-0.67200000000000037</v>
      </c>
      <c r="G26" s="91">
        <f t="shared" si="1"/>
        <v>0.51068618336618765</v>
      </c>
      <c r="I26" s="84" t="s">
        <v>74</v>
      </c>
    </row>
    <row r="27" spans="1:9" x14ac:dyDescent="0.25">
      <c r="A27" s="84">
        <v>18</v>
      </c>
      <c r="B27" s="89">
        <v>-0.4</v>
      </c>
      <c r="C27" s="90">
        <f t="shared" si="0"/>
        <v>-0.4</v>
      </c>
      <c r="D27" s="90">
        <f t="shared" si="2"/>
        <v>1.1200000000000001</v>
      </c>
      <c r="E27" s="90">
        <f>IF(A27&lt;$E$2,0,IF(A27&gt;$E$3,0,1))</f>
        <v>0</v>
      </c>
      <c r="F27" s="90">
        <f>D27-$E$6</f>
        <v>-1.0720000000000005</v>
      </c>
      <c r="G27" s="91">
        <f t="shared" si="1"/>
        <v>0.3423231859437878</v>
      </c>
      <c r="I27" s="84" t="s">
        <v>75</v>
      </c>
    </row>
    <row r="28" spans="1:9" x14ac:dyDescent="0.25">
      <c r="A28" s="84">
        <v>19</v>
      </c>
      <c r="B28" s="89">
        <v>-999</v>
      </c>
      <c r="C28" s="90">
        <f t="shared" si="0"/>
        <v>-0.4</v>
      </c>
      <c r="D28" s="90">
        <f t="shared" si="2"/>
        <v>0.72000000000000008</v>
      </c>
      <c r="E28" s="90">
        <f>IF(A28&lt;$E$2,0,IF(A28&gt;$E$3,0,1))</f>
        <v>0</v>
      </c>
      <c r="F28" s="90">
        <f>D28-$E$6</f>
        <v>-1.4720000000000004</v>
      </c>
      <c r="G28" s="91">
        <f t="shared" si="1"/>
        <v>0.22946609376090657</v>
      </c>
      <c r="I28" s="84" t="s">
        <v>76</v>
      </c>
    </row>
    <row r="29" spans="1:9" x14ac:dyDescent="0.25">
      <c r="A29" s="84">
        <v>20</v>
      </c>
      <c r="B29" s="89">
        <v>-999</v>
      </c>
      <c r="C29" s="90">
        <f t="shared" si="0"/>
        <v>-0.4</v>
      </c>
      <c r="D29" s="90">
        <f t="shared" si="2"/>
        <v>0.32000000000000006</v>
      </c>
      <c r="E29" s="90">
        <f>IF(A29&lt;$E$2,0,IF(A29&gt;$E$3,0,1))</f>
        <v>0</v>
      </c>
      <c r="F29" s="90">
        <f>D29-$E$6</f>
        <v>-1.8720000000000006</v>
      </c>
      <c r="G29" s="91">
        <f t="shared" si="1"/>
        <v>0.15381572253342921</v>
      </c>
    </row>
    <row r="30" spans="1:9" x14ac:dyDescent="0.25">
      <c r="A30" s="84">
        <v>21</v>
      </c>
      <c r="B30" s="89">
        <v>0</v>
      </c>
      <c r="C30" s="90">
        <f t="shared" si="0"/>
        <v>0</v>
      </c>
      <c r="D30" s="90">
        <f t="shared" si="2"/>
        <v>0.32000000000000006</v>
      </c>
      <c r="E30" s="90">
        <f>IF(A30&lt;$E$2,0,IF(A30&gt;$E$3,0,1))</f>
        <v>0</v>
      </c>
      <c r="F30" s="90">
        <f>D30-$E$6</f>
        <v>-1.8720000000000006</v>
      </c>
      <c r="G30" s="91">
        <f t="shared" si="1"/>
        <v>0.15381572253342921</v>
      </c>
    </row>
    <row r="31" spans="1:9" x14ac:dyDescent="0.25">
      <c r="A31" s="84">
        <v>22</v>
      </c>
      <c r="B31" s="89">
        <v>-999</v>
      </c>
      <c r="C31" s="90">
        <f t="shared" si="0"/>
        <v>0</v>
      </c>
      <c r="D31" s="90">
        <f t="shared" si="2"/>
        <v>0.32000000000000006</v>
      </c>
      <c r="E31" s="90">
        <f>IF(A31&lt;$E$2,0,IF(A31&gt;$E$3,0,1))</f>
        <v>0</v>
      </c>
      <c r="F31" s="90">
        <f>D31-$E$6</f>
        <v>-1.8720000000000006</v>
      </c>
      <c r="G31" s="91">
        <f t="shared" si="1"/>
        <v>0.15381572253342921</v>
      </c>
    </row>
    <row r="32" spans="1:9" x14ac:dyDescent="0.25">
      <c r="A32" s="84">
        <v>23</v>
      </c>
      <c r="B32" s="89">
        <v>-999</v>
      </c>
      <c r="C32" s="90">
        <f t="shared" si="0"/>
        <v>0</v>
      </c>
      <c r="D32" s="90">
        <f t="shared" si="2"/>
        <v>0.32000000000000006</v>
      </c>
      <c r="E32" s="90">
        <f>IF(A32&lt;$E$2,0,IF(A32&gt;$E$3,0,1))</f>
        <v>0</v>
      </c>
      <c r="F32" s="90">
        <f>D32-$E$6</f>
        <v>-1.8720000000000006</v>
      </c>
      <c r="G32" s="91">
        <f t="shared" si="1"/>
        <v>0.15381572253342921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Len-24 Age -20</vt:lpstr>
      <vt:lpstr>Len 6</vt:lpstr>
      <vt:lpstr>Len-1</vt:lpstr>
      <vt:lpstr>Age-12</vt:lpstr>
      <vt:lpstr>Age -17</vt:lpstr>
      <vt:lpstr>Age-17 improved</vt:lpstr>
    </vt:vector>
  </TitlesOfParts>
  <Company>NOAA Fisheries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Methot</dc:creator>
  <cp:lastModifiedBy>Methot, Richard</cp:lastModifiedBy>
  <dcterms:created xsi:type="dcterms:W3CDTF">2007-01-03T02:11:35Z</dcterms:created>
  <dcterms:modified xsi:type="dcterms:W3CDTF">2016-04-05T02:35:01Z</dcterms:modified>
</cp:coreProperties>
</file>